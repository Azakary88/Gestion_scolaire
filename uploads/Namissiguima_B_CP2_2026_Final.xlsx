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Mon_ecole\"/>
    </mc:Choice>
  </mc:AlternateContent>
  <xr:revisionPtr revIDLastSave="0" documentId="13_ncr:20001_{51E7CD00-355E-4BFD-B8A4-33B497A46230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1er trimestre" sheetId="1" r:id="rId1"/>
    <sheet name="2e trimestre" sheetId="2" r:id="rId2"/>
    <sheet name="3e trimestre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99" i="1" l="1"/>
  <c r="R99" i="1" s="1"/>
  <c r="T99" i="1" s="1"/>
  <c r="Q55" i="3"/>
  <c r="R55" i="3" s="1"/>
  <c r="T55" i="3" s="1"/>
  <c r="Q91" i="2"/>
  <c r="R91" i="2" s="1"/>
  <c r="T91" i="2" s="1"/>
  <c r="Q111" i="1"/>
  <c r="R111" i="1" s="1"/>
  <c r="T111" i="1" s="1"/>
  <c r="Q88" i="1"/>
  <c r="R88" i="1" s="1"/>
  <c r="T88" i="1" s="1"/>
  <c r="Q116" i="3"/>
  <c r="R116" i="3" s="1"/>
  <c r="T116" i="3" s="1"/>
  <c r="Q115" i="3"/>
  <c r="R115" i="3" s="1"/>
  <c r="T115" i="3" s="1"/>
  <c r="Q114" i="3"/>
  <c r="R114" i="3" s="1"/>
  <c r="T114" i="3" s="1"/>
  <c r="Q113" i="3"/>
  <c r="R113" i="3" s="1"/>
  <c r="T113" i="3" s="1"/>
  <c r="Q112" i="3"/>
  <c r="R112" i="3" s="1"/>
  <c r="T112" i="3" s="1"/>
  <c r="Q111" i="3"/>
  <c r="R111" i="3" s="1"/>
  <c r="T111" i="3" s="1"/>
  <c r="Q110" i="3"/>
  <c r="R110" i="3" s="1"/>
  <c r="T110" i="3" s="1"/>
  <c r="Q109" i="3"/>
  <c r="R109" i="3" s="1"/>
  <c r="T109" i="3" s="1"/>
  <c r="Q108" i="3"/>
  <c r="R108" i="3" s="1"/>
  <c r="T108" i="3" s="1"/>
  <c r="Q107" i="3"/>
  <c r="R107" i="3" s="1"/>
  <c r="T107" i="3" s="1"/>
  <c r="Q106" i="3"/>
  <c r="R106" i="3" s="1"/>
  <c r="T106" i="3" s="1"/>
  <c r="Q105" i="3"/>
  <c r="R105" i="3" s="1"/>
  <c r="T105" i="3" s="1"/>
  <c r="Q104" i="3"/>
  <c r="R104" i="3" s="1"/>
  <c r="T104" i="3" s="1"/>
  <c r="Q103" i="3"/>
  <c r="R103" i="3" s="1"/>
  <c r="T103" i="3" s="1"/>
  <c r="Q102" i="3"/>
  <c r="R102" i="3" s="1"/>
  <c r="T102" i="3" s="1"/>
  <c r="Q101" i="3"/>
  <c r="R101" i="3" s="1"/>
  <c r="T101" i="3" s="1"/>
  <c r="Q100" i="3"/>
  <c r="R100" i="3" s="1"/>
  <c r="T100" i="3" s="1"/>
  <c r="Q99" i="3"/>
  <c r="R99" i="3" s="1"/>
  <c r="T99" i="3" s="1"/>
  <c r="Q98" i="3"/>
  <c r="R98" i="3" s="1"/>
  <c r="T98" i="3" s="1"/>
  <c r="Q97" i="3"/>
  <c r="R97" i="3" s="1"/>
  <c r="T97" i="3" s="1"/>
  <c r="Q96" i="3"/>
  <c r="R96" i="3" s="1"/>
  <c r="T96" i="3" s="1"/>
  <c r="Q95" i="3"/>
  <c r="R95" i="3" s="1"/>
  <c r="T95" i="3" s="1"/>
  <c r="Q94" i="3"/>
  <c r="R94" i="3" s="1"/>
  <c r="T94" i="3" s="1"/>
  <c r="Q93" i="3"/>
  <c r="R93" i="3" s="1"/>
  <c r="T93" i="3" s="1"/>
  <c r="Q92" i="3"/>
  <c r="R92" i="3" s="1"/>
  <c r="T92" i="3" s="1"/>
  <c r="Q91" i="3"/>
  <c r="R91" i="3" s="1"/>
  <c r="T91" i="3" s="1"/>
  <c r="Q90" i="3"/>
  <c r="R90" i="3" s="1"/>
  <c r="T90" i="3" s="1"/>
  <c r="Q89" i="3"/>
  <c r="R89" i="3" s="1"/>
  <c r="T89" i="3" s="1"/>
  <c r="Q88" i="3"/>
  <c r="R88" i="3" s="1"/>
  <c r="T88" i="3" s="1"/>
  <c r="Q87" i="3"/>
  <c r="R87" i="3" s="1"/>
  <c r="T87" i="3" s="1"/>
  <c r="Q86" i="3"/>
  <c r="R86" i="3" s="1"/>
  <c r="T86" i="3" s="1"/>
  <c r="Q85" i="3"/>
  <c r="R85" i="3" s="1"/>
  <c r="T85" i="3" s="1"/>
  <c r="Q84" i="3"/>
  <c r="R84" i="3" s="1"/>
  <c r="T84" i="3" s="1"/>
  <c r="Q83" i="3"/>
  <c r="R83" i="3" s="1"/>
  <c r="T83" i="3" s="1"/>
  <c r="Q82" i="3"/>
  <c r="R82" i="3" s="1"/>
  <c r="T82" i="3" s="1"/>
  <c r="Q81" i="3"/>
  <c r="R81" i="3" s="1"/>
  <c r="T81" i="3" s="1"/>
  <c r="Q80" i="3"/>
  <c r="R80" i="3" s="1"/>
  <c r="T80" i="3" s="1"/>
  <c r="Q79" i="3"/>
  <c r="R79" i="3" s="1"/>
  <c r="T79" i="3" s="1"/>
  <c r="Q78" i="3"/>
  <c r="R78" i="3" s="1"/>
  <c r="T78" i="3" s="1"/>
  <c r="Q77" i="3"/>
  <c r="R77" i="3" s="1"/>
  <c r="T77" i="3" s="1"/>
  <c r="Q76" i="3"/>
  <c r="R76" i="3" s="1"/>
  <c r="T76" i="3" s="1"/>
  <c r="Q75" i="3"/>
  <c r="R75" i="3" s="1"/>
  <c r="T75" i="3" s="1"/>
  <c r="Q74" i="3"/>
  <c r="R74" i="3" s="1"/>
  <c r="T74" i="3" s="1"/>
  <c r="Q73" i="3"/>
  <c r="R73" i="3" s="1"/>
  <c r="T73" i="3" s="1"/>
  <c r="Q72" i="3"/>
  <c r="R72" i="3" s="1"/>
  <c r="T72" i="3" s="1"/>
  <c r="Q71" i="3"/>
  <c r="R71" i="3" s="1"/>
  <c r="T71" i="3" s="1"/>
  <c r="Q70" i="3"/>
  <c r="R70" i="3" s="1"/>
  <c r="T70" i="3" s="1"/>
  <c r="Q69" i="3"/>
  <c r="R69" i="3" s="1"/>
  <c r="T69" i="3" s="1"/>
  <c r="Q66" i="3"/>
  <c r="R66" i="3" s="1"/>
  <c r="T66" i="3" s="1"/>
  <c r="Q65" i="3"/>
  <c r="R65" i="3" s="1"/>
  <c r="T65" i="3" s="1"/>
  <c r="Q64" i="3"/>
  <c r="R64" i="3" s="1"/>
  <c r="T64" i="3" s="1"/>
  <c r="Q63" i="3"/>
  <c r="R63" i="3" s="1"/>
  <c r="T63" i="3" s="1"/>
  <c r="Q62" i="3"/>
  <c r="R62" i="3" s="1"/>
  <c r="T62" i="3" s="1"/>
  <c r="Q61" i="3"/>
  <c r="R61" i="3" s="1"/>
  <c r="T61" i="3" s="1"/>
  <c r="Q60" i="3"/>
  <c r="R60" i="3" s="1"/>
  <c r="T60" i="3" s="1"/>
  <c r="Q59" i="3"/>
  <c r="R59" i="3" s="1"/>
  <c r="T59" i="3" s="1"/>
  <c r="Q57" i="3"/>
  <c r="R57" i="3" s="1"/>
  <c r="T57" i="3" s="1"/>
  <c r="Q56" i="3"/>
  <c r="R56" i="3" s="1"/>
  <c r="T56" i="3" s="1"/>
  <c r="Q53" i="3"/>
  <c r="R53" i="3" s="1"/>
  <c r="T53" i="3" s="1"/>
  <c r="Q52" i="3"/>
  <c r="R52" i="3" s="1"/>
  <c r="T52" i="3" s="1"/>
  <c r="Q50" i="3"/>
  <c r="R50" i="3" s="1"/>
  <c r="T50" i="3" s="1"/>
  <c r="Q68" i="3"/>
  <c r="R68" i="3" s="1"/>
  <c r="T68" i="3" s="1"/>
  <c r="Q67" i="3"/>
  <c r="R67" i="3" s="1"/>
  <c r="T67" i="3" s="1"/>
  <c r="Q58" i="3"/>
  <c r="R58" i="3" s="1"/>
  <c r="T58" i="3" s="1"/>
  <c r="Q54" i="3"/>
  <c r="R54" i="3" s="1"/>
  <c r="T54" i="3" s="1"/>
  <c r="Q51" i="3"/>
  <c r="R51" i="3" s="1"/>
  <c r="T51" i="3" s="1"/>
  <c r="Q49" i="3"/>
  <c r="R49" i="3" s="1"/>
  <c r="T49" i="3" s="1"/>
  <c r="Q48" i="3"/>
  <c r="R48" i="3" s="1"/>
  <c r="T48" i="3" s="1"/>
  <c r="Q47" i="3"/>
  <c r="R47" i="3" s="1"/>
  <c r="T47" i="3" s="1"/>
  <c r="Q46" i="3"/>
  <c r="R46" i="3" s="1"/>
  <c r="T46" i="3" s="1"/>
  <c r="Q45" i="3"/>
  <c r="R45" i="3" s="1"/>
  <c r="T45" i="3" s="1"/>
  <c r="Q44" i="3"/>
  <c r="R44" i="3" s="1"/>
  <c r="T44" i="3" s="1"/>
  <c r="Q42" i="3"/>
  <c r="R42" i="3" s="1"/>
  <c r="T42" i="3" s="1"/>
  <c r="Q43" i="3"/>
  <c r="R43" i="3" s="1"/>
  <c r="T43" i="3" s="1"/>
  <c r="Q41" i="3"/>
  <c r="R41" i="3" s="1"/>
  <c r="T41" i="3" s="1"/>
  <c r="Q40" i="3"/>
  <c r="R40" i="3" s="1"/>
  <c r="T40" i="3" s="1"/>
  <c r="Q39" i="3"/>
  <c r="R39" i="3" s="1"/>
  <c r="T39" i="3" s="1"/>
  <c r="Q38" i="3"/>
  <c r="R38" i="3" s="1"/>
  <c r="T38" i="3" s="1"/>
  <c r="Q37" i="3"/>
  <c r="R37" i="3" s="1"/>
  <c r="T37" i="3" s="1"/>
  <c r="Q36" i="3"/>
  <c r="R36" i="3" s="1"/>
  <c r="T36" i="3" s="1"/>
  <c r="Q35" i="3"/>
  <c r="R35" i="3" s="1"/>
  <c r="T35" i="3" s="1"/>
  <c r="Q34" i="3"/>
  <c r="R34" i="3" s="1"/>
  <c r="T34" i="3" s="1"/>
  <c r="Q33" i="3"/>
  <c r="R33" i="3" s="1"/>
  <c r="T33" i="3" s="1"/>
  <c r="Q32" i="3"/>
  <c r="R32" i="3" s="1"/>
  <c r="T32" i="3" s="1"/>
  <c r="Q31" i="3"/>
  <c r="R31" i="3" s="1"/>
  <c r="T31" i="3" s="1"/>
  <c r="Q30" i="3"/>
  <c r="R30" i="3" s="1"/>
  <c r="T30" i="3" s="1"/>
  <c r="Q29" i="3"/>
  <c r="R29" i="3" s="1"/>
  <c r="T29" i="3" s="1"/>
  <c r="Q28" i="3"/>
  <c r="R28" i="3" s="1"/>
  <c r="T28" i="3" s="1"/>
  <c r="Q27" i="3"/>
  <c r="R27" i="3" s="1"/>
  <c r="T27" i="3" s="1"/>
  <c r="Q26" i="3"/>
  <c r="R26" i="3" s="1"/>
  <c r="T26" i="3" s="1"/>
  <c r="Q25" i="3"/>
  <c r="R25" i="3" s="1"/>
  <c r="T25" i="3" s="1"/>
  <c r="Q24" i="3"/>
  <c r="R24" i="3" s="1"/>
  <c r="T24" i="3" s="1"/>
  <c r="Q23" i="3"/>
  <c r="R23" i="3" s="1"/>
  <c r="T23" i="3" s="1"/>
  <c r="Q22" i="3"/>
  <c r="R22" i="3" s="1"/>
  <c r="T22" i="3" s="1"/>
  <c r="Q21" i="3"/>
  <c r="R21" i="3" s="1"/>
  <c r="T21" i="3" s="1"/>
  <c r="Q20" i="3"/>
  <c r="R20" i="3" s="1"/>
  <c r="T20" i="3" s="1"/>
  <c r="Q19" i="3"/>
  <c r="R19" i="3" s="1"/>
  <c r="T19" i="3" s="1"/>
  <c r="Q18" i="3"/>
  <c r="R18" i="3" s="1"/>
  <c r="T18" i="3" s="1"/>
  <c r="Q17" i="3"/>
  <c r="R17" i="3" s="1"/>
  <c r="T17" i="3" s="1"/>
  <c r="Q16" i="3"/>
  <c r="R16" i="3" s="1"/>
  <c r="T16" i="3" s="1"/>
  <c r="Q15" i="3"/>
  <c r="R15" i="3" s="1"/>
  <c r="T15" i="3" s="1"/>
  <c r="Q14" i="3"/>
  <c r="R14" i="3" s="1"/>
  <c r="T14" i="3" s="1"/>
  <c r="Q13" i="3"/>
  <c r="R13" i="3" s="1"/>
  <c r="T13" i="3" s="1"/>
  <c r="Q12" i="3"/>
  <c r="R12" i="3" s="1"/>
  <c r="T12" i="3" s="1"/>
  <c r="Q11" i="3"/>
  <c r="R11" i="3" s="1"/>
  <c r="T11" i="3" s="1"/>
  <c r="Q10" i="3"/>
  <c r="R10" i="3" s="1"/>
  <c r="T10" i="3" s="1"/>
  <c r="Q9" i="3"/>
  <c r="R9" i="3" s="1"/>
  <c r="T9" i="3" s="1"/>
  <c r="Q8" i="3"/>
  <c r="R8" i="3" s="1"/>
  <c r="T8" i="3" s="1"/>
  <c r="Q7" i="3"/>
  <c r="R7" i="3" s="1"/>
  <c r="T7" i="3" s="1"/>
  <c r="Q6" i="3"/>
  <c r="R6" i="3" s="1"/>
  <c r="T6" i="3" s="1"/>
  <c r="Q5" i="3"/>
  <c r="R5" i="3" s="1"/>
  <c r="T5" i="3" s="1"/>
  <c r="Q4" i="3"/>
  <c r="R4" i="3" s="1"/>
  <c r="T4" i="3" s="1"/>
  <c r="Q3" i="3"/>
  <c r="R3" i="3" s="1"/>
  <c r="T3" i="3" s="1"/>
  <c r="Q2" i="3"/>
  <c r="R2" i="3" s="1"/>
  <c r="T2" i="3" s="1"/>
  <c r="Q116" i="2"/>
  <c r="R116" i="2" s="1"/>
  <c r="T116" i="2" s="1"/>
  <c r="Q115" i="2"/>
  <c r="R115" i="2" s="1"/>
  <c r="T115" i="2" s="1"/>
  <c r="Q114" i="2"/>
  <c r="R114" i="2" s="1"/>
  <c r="T114" i="2" s="1"/>
  <c r="Q113" i="2"/>
  <c r="R113" i="2" s="1"/>
  <c r="T113" i="2" s="1"/>
  <c r="Q112" i="2"/>
  <c r="R112" i="2" s="1"/>
  <c r="T112" i="2" s="1"/>
  <c r="Q111" i="2"/>
  <c r="R111" i="2" s="1"/>
  <c r="T111" i="2" s="1"/>
  <c r="Q110" i="2"/>
  <c r="R110" i="2" s="1"/>
  <c r="T110" i="2" s="1"/>
  <c r="Q109" i="2"/>
  <c r="R109" i="2" s="1"/>
  <c r="T109" i="2" s="1"/>
  <c r="Q108" i="2"/>
  <c r="R108" i="2" s="1"/>
  <c r="T108" i="2" s="1"/>
  <c r="Q107" i="2"/>
  <c r="R107" i="2" s="1"/>
  <c r="T107" i="2" s="1"/>
  <c r="Q106" i="2"/>
  <c r="R106" i="2" s="1"/>
  <c r="T106" i="2" s="1"/>
  <c r="Q105" i="2"/>
  <c r="R105" i="2" s="1"/>
  <c r="T105" i="2" s="1"/>
  <c r="Q104" i="2"/>
  <c r="R104" i="2" s="1"/>
  <c r="T104" i="2" s="1"/>
  <c r="Q103" i="2"/>
  <c r="R103" i="2" s="1"/>
  <c r="T103" i="2" s="1"/>
  <c r="Q102" i="2"/>
  <c r="R102" i="2" s="1"/>
  <c r="T102" i="2" s="1"/>
  <c r="Q101" i="2"/>
  <c r="R101" i="2" s="1"/>
  <c r="T101" i="2" s="1"/>
  <c r="Q100" i="2"/>
  <c r="R100" i="2" s="1"/>
  <c r="T100" i="2" s="1"/>
  <c r="Q99" i="2"/>
  <c r="R99" i="2" s="1"/>
  <c r="T99" i="2" s="1"/>
  <c r="Q98" i="2"/>
  <c r="R98" i="2" s="1"/>
  <c r="T98" i="2" s="1"/>
  <c r="Q97" i="2"/>
  <c r="R97" i="2" s="1"/>
  <c r="T97" i="2" s="1"/>
  <c r="Q96" i="2"/>
  <c r="R96" i="2" s="1"/>
  <c r="T96" i="2" s="1"/>
  <c r="Q95" i="2"/>
  <c r="R95" i="2" s="1"/>
  <c r="T95" i="2" s="1"/>
  <c r="Q94" i="2"/>
  <c r="R94" i="2" s="1"/>
  <c r="T94" i="2" s="1"/>
  <c r="Q93" i="2"/>
  <c r="R93" i="2" s="1"/>
  <c r="T93" i="2" s="1"/>
  <c r="Q92" i="2"/>
  <c r="R92" i="2" s="1"/>
  <c r="T92" i="2" s="1"/>
  <c r="Q90" i="2"/>
  <c r="R90" i="2" s="1"/>
  <c r="T90" i="2" s="1"/>
  <c r="Q89" i="2"/>
  <c r="R89" i="2" s="1"/>
  <c r="T89" i="2" s="1"/>
  <c r="Q88" i="2"/>
  <c r="R88" i="2" s="1"/>
  <c r="T88" i="2" s="1"/>
  <c r="Q87" i="2"/>
  <c r="R87" i="2" s="1"/>
  <c r="T87" i="2" s="1"/>
  <c r="Q86" i="2"/>
  <c r="R86" i="2" s="1"/>
  <c r="T86" i="2" s="1"/>
  <c r="Q85" i="2"/>
  <c r="R85" i="2" s="1"/>
  <c r="T85" i="2" s="1"/>
  <c r="Q84" i="2"/>
  <c r="R84" i="2" s="1"/>
  <c r="T84" i="2" s="1"/>
  <c r="Q83" i="2"/>
  <c r="R83" i="2" s="1"/>
  <c r="T83" i="2" s="1"/>
  <c r="Q82" i="2"/>
  <c r="R82" i="2" s="1"/>
  <c r="T82" i="2" s="1"/>
  <c r="Q81" i="2"/>
  <c r="R81" i="2" s="1"/>
  <c r="T81" i="2" s="1"/>
  <c r="Q80" i="2"/>
  <c r="R80" i="2" s="1"/>
  <c r="T80" i="2" s="1"/>
  <c r="Q79" i="2"/>
  <c r="R79" i="2" s="1"/>
  <c r="T79" i="2" s="1"/>
  <c r="Q78" i="2"/>
  <c r="R78" i="2" s="1"/>
  <c r="T78" i="2" s="1"/>
  <c r="Q77" i="2"/>
  <c r="R77" i="2" s="1"/>
  <c r="T77" i="2" s="1"/>
  <c r="Q76" i="2"/>
  <c r="R76" i="2" s="1"/>
  <c r="T76" i="2" s="1"/>
  <c r="Q75" i="2"/>
  <c r="R75" i="2" s="1"/>
  <c r="T75" i="2" s="1"/>
  <c r="Q74" i="2"/>
  <c r="R74" i="2" s="1"/>
  <c r="T74" i="2" s="1"/>
  <c r="Q73" i="2"/>
  <c r="R73" i="2" s="1"/>
  <c r="T73" i="2" s="1"/>
  <c r="Q72" i="2"/>
  <c r="R72" i="2" s="1"/>
  <c r="T72" i="2" s="1"/>
  <c r="Q71" i="2"/>
  <c r="R71" i="2" s="1"/>
  <c r="T71" i="2" s="1"/>
  <c r="Q70" i="2"/>
  <c r="R70" i="2" s="1"/>
  <c r="T70" i="2" s="1"/>
  <c r="Q69" i="2"/>
  <c r="R69" i="2" s="1"/>
  <c r="T69" i="2" s="1"/>
  <c r="Q66" i="2"/>
  <c r="R66" i="2" s="1"/>
  <c r="T66" i="2" s="1"/>
  <c r="Q65" i="2"/>
  <c r="R65" i="2" s="1"/>
  <c r="T65" i="2" s="1"/>
  <c r="Q64" i="2"/>
  <c r="R64" i="2" s="1"/>
  <c r="T64" i="2" s="1"/>
  <c r="Q63" i="2"/>
  <c r="R63" i="2" s="1"/>
  <c r="T63" i="2" s="1"/>
  <c r="Q62" i="2"/>
  <c r="R62" i="2" s="1"/>
  <c r="T62" i="2" s="1"/>
  <c r="Q61" i="2"/>
  <c r="R61" i="2" s="1"/>
  <c r="T61" i="2" s="1"/>
  <c r="Q60" i="2"/>
  <c r="R60" i="2" s="1"/>
  <c r="T60" i="2" s="1"/>
  <c r="Q59" i="2"/>
  <c r="R59" i="2" s="1"/>
  <c r="T59" i="2" s="1"/>
  <c r="Q57" i="2"/>
  <c r="R57" i="2" s="1"/>
  <c r="T57" i="2" s="1"/>
  <c r="Q56" i="2"/>
  <c r="R56" i="2" s="1"/>
  <c r="T56" i="2" s="1"/>
  <c r="Q53" i="2"/>
  <c r="R53" i="2" s="1"/>
  <c r="T53" i="2" s="1"/>
  <c r="Q52" i="2"/>
  <c r="R52" i="2" s="1"/>
  <c r="T52" i="2" s="1"/>
  <c r="Q50" i="2"/>
  <c r="R50" i="2" s="1"/>
  <c r="T50" i="2" s="1"/>
  <c r="Q68" i="2"/>
  <c r="R68" i="2" s="1"/>
  <c r="T68" i="2" s="1"/>
  <c r="Q67" i="2"/>
  <c r="R67" i="2" s="1"/>
  <c r="T67" i="2" s="1"/>
  <c r="Q58" i="2"/>
  <c r="R58" i="2" s="1"/>
  <c r="T58" i="2" s="1"/>
  <c r="Q55" i="2"/>
  <c r="R55" i="2" s="1"/>
  <c r="T55" i="2" s="1"/>
  <c r="Q54" i="2"/>
  <c r="R54" i="2" s="1"/>
  <c r="T54" i="2" s="1"/>
  <c r="Q51" i="2"/>
  <c r="R51" i="2" s="1"/>
  <c r="T51" i="2" s="1"/>
  <c r="Q49" i="2"/>
  <c r="R49" i="2" s="1"/>
  <c r="T49" i="2" s="1"/>
  <c r="Q48" i="2"/>
  <c r="R48" i="2" s="1"/>
  <c r="T48" i="2" s="1"/>
  <c r="Q47" i="2"/>
  <c r="R47" i="2" s="1"/>
  <c r="T47" i="2" s="1"/>
  <c r="Q46" i="2"/>
  <c r="R46" i="2" s="1"/>
  <c r="T46" i="2" s="1"/>
  <c r="Q45" i="2"/>
  <c r="R45" i="2" s="1"/>
  <c r="T45" i="2" s="1"/>
  <c r="Q44" i="2"/>
  <c r="R44" i="2" s="1"/>
  <c r="T44" i="2" s="1"/>
  <c r="Q42" i="2"/>
  <c r="R42" i="2" s="1"/>
  <c r="T42" i="2" s="1"/>
  <c r="Q43" i="2"/>
  <c r="R43" i="2" s="1"/>
  <c r="T43" i="2" s="1"/>
  <c r="Q41" i="2"/>
  <c r="R41" i="2" s="1"/>
  <c r="T41" i="2" s="1"/>
  <c r="Q40" i="2"/>
  <c r="R40" i="2" s="1"/>
  <c r="T40" i="2" s="1"/>
  <c r="Q39" i="2"/>
  <c r="R39" i="2" s="1"/>
  <c r="T39" i="2" s="1"/>
  <c r="Q38" i="2"/>
  <c r="R38" i="2" s="1"/>
  <c r="T38" i="2" s="1"/>
  <c r="Q37" i="2"/>
  <c r="R37" i="2" s="1"/>
  <c r="T37" i="2" s="1"/>
  <c r="Q36" i="2"/>
  <c r="R36" i="2" s="1"/>
  <c r="T36" i="2" s="1"/>
  <c r="Q35" i="2"/>
  <c r="R35" i="2" s="1"/>
  <c r="T35" i="2" s="1"/>
  <c r="Q34" i="2"/>
  <c r="R34" i="2" s="1"/>
  <c r="T34" i="2" s="1"/>
  <c r="Q33" i="2"/>
  <c r="R33" i="2" s="1"/>
  <c r="T33" i="2" s="1"/>
  <c r="Q32" i="2"/>
  <c r="R32" i="2" s="1"/>
  <c r="T32" i="2" s="1"/>
  <c r="Q31" i="2"/>
  <c r="R31" i="2" s="1"/>
  <c r="T31" i="2" s="1"/>
  <c r="Q30" i="2"/>
  <c r="R30" i="2" s="1"/>
  <c r="T30" i="2" s="1"/>
  <c r="Q29" i="2"/>
  <c r="R29" i="2" s="1"/>
  <c r="T29" i="2" s="1"/>
  <c r="Q28" i="2"/>
  <c r="R28" i="2" s="1"/>
  <c r="T28" i="2" s="1"/>
  <c r="Q27" i="2"/>
  <c r="R27" i="2" s="1"/>
  <c r="T27" i="2" s="1"/>
  <c r="Q26" i="2"/>
  <c r="R26" i="2" s="1"/>
  <c r="T26" i="2" s="1"/>
  <c r="Q25" i="2"/>
  <c r="R25" i="2" s="1"/>
  <c r="T25" i="2" s="1"/>
  <c r="Q24" i="2"/>
  <c r="R24" i="2" s="1"/>
  <c r="T24" i="2" s="1"/>
  <c r="Q23" i="2"/>
  <c r="R23" i="2" s="1"/>
  <c r="T23" i="2" s="1"/>
  <c r="Q22" i="2"/>
  <c r="R22" i="2" s="1"/>
  <c r="T22" i="2" s="1"/>
  <c r="Q21" i="2"/>
  <c r="R21" i="2" s="1"/>
  <c r="T21" i="2" s="1"/>
  <c r="Q20" i="2"/>
  <c r="R20" i="2" s="1"/>
  <c r="T20" i="2" s="1"/>
  <c r="Q19" i="2"/>
  <c r="R19" i="2" s="1"/>
  <c r="T19" i="2" s="1"/>
  <c r="Q18" i="2"/>
  <c r="R18" i="2" s="1"/>
  <c r="T18" i="2" s="1"/>
  <c r="Q17" i="2"/>
  <c r="R17" i="2" s="1"/>
  <c r="T17" i="2" s="1"/>
  <c r="Q16" i="2"/>
  <c r="R16" i="2" s="1"/>
  <c r="T16" i="2" s="1"/>
  <c r="Q15" i="2"/>
  <c r="R15" i="2" s="1"/>
  <c r="T15" i="2" s="1"/>
  <c r="Q14" i="2"/>
  <c r="R14" i="2" s="1"/>
  <c r="T14" i="2" s="1"/>
  <c r="Q13" i="2"/>
  <c r="R13" i="2" s="1"/>
  <c r="T13" i="2" s="1"/>
  <c r="Q12" i="2"/>
  <c r="R12" i="2" s="1"/>
  <c r="T12" i="2" s="1"/>
  <c r="Q11" i="2"/>
  <c r="R11" i="2" s="1"/>
  <c r="T11" i="2" s="1"/>
  <c r="Q10" i="2"/>
  <c r="R10" i="2" s="1"/>
  <c r="T10" i="2" s="1"/>
  <c r="Q9" i="2"/>
  <c r="R9" i="2" s="1"/>
  <c r="T9" i="2" s="1"/>
  <c r="Q8" i="2"/>
  <c r="R8" i="2" s="1"/>
  <c r="T8" i="2" s="1"/>
  <c r="Q7" i="2"/>
  <c r="R7" i="2" s="1"/>
  <c r="T7" i="2" s="1"/>
  <c r="Q6" i="2"/>
  <c r="R6" i="2" s="1"/>
  <c r="T6" i="2" s="1"/>
  <c r="Q5" i="2"/>
  <c r="R5" i="2" s="1"/>
  <c r="T5" i="2" s="1"/>
  <c r="Q4" i="2"/>
  <c r="R4" i="2" s="1"/>
  <c r="T4" i="2" s="1"/>
  <c r="Q3" i="2"/>
  <c r="R3" i="2" s="1"/>
  <c r="T3" i="2" s="1"/>
  <c r="Q2" i="2"/>
  <c r="R2" i="2" s="1"/>
  <c r="T2" i="2" s="1"/>
  <c r="Q116" i="1"/>
  <c r="R116" i="1" s="1"/>
  <c r="T116" i="1" s="1"/>
  <c r="Q115" i="1"/>
  <c r="R115" i="1" s="1"/>
  <c r="T115" i="1" s="1"/>
  <c r="Q114" i="1"/>
  <c r="R114" i="1" s="1"/>
  <c r="T114" i="1" s="1"/>
  <c r="Q113" i="1"/>
  <c r="R113" i="1" s="1"/>
  <c r="T113" i="1" s="1"/>
  <c r="Q112" i="1"/>
  <c r="R112" i="1" s="1"/>
  <c r="T112" i="1" s="1"/>
  <c r="Q110" i="1"/>
  <c r="R110" i="1" s="1"/>
  <c r="T110" i="1" s="1"/>
  <c r="Q109" i="1"/>
  <c r="R109" i="1" s="1"/>
  <c r="T109" i="1" s="1"/>
  <c r="Q108" i="1"/>
  <c r="R108" i="1" s="1"/>
  <c r="T108" i="1" s="1"/>
  <c r="Q107" i="1"/>
  <c r="R107" i="1" s="1"/>
  <c r="T107" i="1" s="1"/>
  <c r="Q106" i="1"/>
  <c r="R106" i="1" s="1"/>
  <c r="T106" i="1" s="1"/>
  <c r="Q105" i="1"/>
  <c r="R105" i="1" s="1"/>
  <c r="T105" i="1" s="1"/>
  <c r="Q104" i="1"/>
  <c r="R104" i="1" s="1"/>
  <c r="T104" i="1" s="1"/>
  <c r="Q103" i="1"/>
  <c r="R103" i="1" s="1"/>
  <c r="T103" i="1" s="1"/>
  <c r="Q102" i="1"/>
  <c r="R102" i="1" s="1"/>
  <c r="T102" i="1" s="1"/>
  <c r="Q101" i="1"/>
  <c r="R101" i="1" s="1"/>
  <c r="T101" i="1" s="1"/>
  <c r="Q100" i="1"/>
  <c r="R100" i="1" s="1"/>
  <c r="T100" i="1" s="1"/>
  <c r="Q98" i="1"/>
  <c r="R98" i="1" s="1"/>
  <c r="T98" i="1" s="1"/>
  <c r="Q97" i="1"/>
  <c r="R97" i="1" s="1"/>
  <c r="T97" i="1" s="1"/>
  <c r="Q96" i="1"/>
  <c r="R96" i="1" s="1"/>
  <c r="T96" i="1" s="1"/>
  <c r="Q95" i="1"/>
  <c r="R95" i="1" s="1"/>
  <c r="T95" i="1" s="1"/>
  <c r="Q94" i="1"/>
  <c r="R94" i="1" s="1"/>
  <c r="T94" i="1" s="1"/>
  <c r="Q93" i="1"/>
  <c r="R93" i="1" s="1"/>
  <c r="T93" i="1" s="1"/>
  <c r="Q91" i="1"/>
  <c r="R91" i="1" s="1"/>
  <c r="T91" i="1" s="1"/>
  <c r="Q92" i="1"/>
  <c r="R92" i="1" s="1"/>
  <c r="T92" i="1" s="1"/>
  <c r="Q90" i="1"/>
  <c r="R90" i="1" s="1"/>
  <c r="T90" i="1" s="1"/>
  <c r="Q89" i="1"/>
  <c r="R89" i="1" s="1"/>
  <c r="T89" i="1" s="1"/>
  <c r="Q87" i="1"/>
  <c r="R87" i="1" s="1"/>
  <c r="T87" i="1" s="1"/>
  <c r="Q86" i="1"/>
  <c r="R86" i="1" s="1"/>
  <c r="T86" i="1" s="1"/>
  <c r="Q85" i="1"/>
  <c r="R85" i="1" s="1"/>
  <c r="T85" i="1" s="1"/>
  <c r="Q84" i="1"/>
  <c r="R84" i="1" s="1"/>
  <c r="T84" i="1" s="1"/>
  <c r="Q83" i="1"/>
  <c r="R83" i="1" s="1"/>
  <c r="T83" i="1" s="1"/>
  <c r="Q82" i="1"/>
  <c r="R82" i="1" s="1"/>
  <c r="T82" i="1" s="1"/>
  <c r="Q81" i="1"/>
  <c r="R81" i="1" s="1"/>
  <c r="T81" i="1" s="1"/>
  <c r="Q80" i="1"/>
  <c r="R80" i="1" s="1"/>
  <c r="T80" i="1" s="1"/>
  <c r="Q79" i="1"/>
  <c r="R79" i="1" s="1"/>
  <c r="T79" i="1" s="1"/>
  <c r="Q78" i="1"/>
  <c r="R78" i="1" s="1"/>
  <c r="T78" i="1" s="1"/>
  <c r="Q77" i="1"/>
  <c r="R77" i="1" s="1"/>
  <c r="T77" i="1" s="1"/>
  <c r="Q76" i="1"/>
  <c r="R76" i="1" s="1"/>
  <c r="T76" i="1" s="1"/>
  <c r="Q75" i="1"/>
  <c r="R75" i="1" s="1"/>
  <c r="T75" i="1" s="1"/>
  <c r="Q74" i="1"/>
  <c r="R74" i="1" s="1"/>
  <c r="T74" i="1" s="1"/>
  <c r="Q73" i="1"/>
  <c r="R73" i="1" s="1"/>
  <c r="T73" i="1" s="1"/>
  <c r="Q72" i="1"/>
  <c r="R72" i="1" s="1"/>
  <c r="T72" i="1" s="1"/>
  <c r="Q71" i="1"/>
  <c r="R71" i="1" s="1"/>
  <c r="T71" i="1" s="1"/>
  <c r="Q70" i="1"/>
  <c r="R70" i="1" s="1"/>
  <c r="T70" i="1" s="1"/>
  <c r="Q69" i="1"/>
  <c r="R69" i="1" s="1"/>
  <c r="T69" i="1" s="1"/>
  <c r="Q62" i="1"/>
  <c r="R62" i="1" s="1"/>
  <c r="T62" i="1" s="1"/>
  <c r="Q61" i="1"/>
  <c r="R61" i="1" s="1"/>
  <c r="T61" i="1" s="1"/>
  <c r="Q60" i="1"/>
  <c r="R60" i="1" s="1"/>
  <c r="T60" i="1" s="1"/>
  <c r="Q59" i="1"/>
  <c r="R59" i="1" s="1"/>
  <c r="T59" i="1" s="1"/>
  <c r="Q66" i="1"/>
  <c r="R66" i="1" s="1"/>
  <c r="T66" i="1" s="1"/>
  <c r="Q63" i="1"/>
  <c r="R63" i="1" s="1"/>
  <c r="T63" i="1" s="1"/>
  <c r="Q56" i="1"/>
  <c r="R56" i="1" s="1"/>
  <c r="T56" i="1" s="1"/>
  <c r="Q50" i="1"/>
  <c r="R50" i="1" s="1"/>
  <c r="T50" i="1" s="1"/>
  <c r="Q52" i="1"/>
  <c r="R52" i="1" s="1"/>
  <c r="T52" i="1" s="1"/>
  <c r="Q51" i="1"/>
  <c r="R51" i="1" s="1"/>
  <c r="T51" i="1" s="1"/>
  <c r="Q57" i="1"/>
  <c r="R57" i="1" s="1"/>
  <c r="T57" i="1" s="1"/>
  <c r="Q55" i="1"/>
  <c r="R55" i="1" s="1"/>
  <c r="T55" i="1" s="1"/>
  <c r="Q54" i="1"/>
  <c r="R54" i="1" s="1"/>
  <c r="T54" i="1" s="1"/>
  <c r="Q64" i="1"/>
  <c r="R64" i="1" s="1"/>
  <c r="T64" i="1" s="1"/>
  <c r="Q67" i="1"/>
  <c r="R67" i="1" s="1"/>
  <c r="T67" i="1" s="1"/>
  <c r="Q58" i="1"/>
  <c r="R58" i="1" s="1"/>
  <c r="T58" i="1" s="1"/>
  <c r="Q68" i="1"/>
  <c r="R68" i="1" s="1"/>
  <c r="T68" i="1" s="1"/>
  <c r="Q65" i="1"/>
  <c r="R65" i="1" s="1"/>
  <c r="T65" i="1" s="1"/>
  <c r="Q53" i="1"/>
  <c r="R53" i="1" s="1"/>
  <c r="T53" i="1" s="1"/>
  <c r="Q49" i="1"/>
  <c r="R49" i="1" s="1"/>
  <c r="T49" i="1" s="1"/>
  <c r="Q48" i="1"/>
  <c r="R48" i="1" s="1"/>
  <c r="T48" i="1" s="1"/>
  <c r="Q47" i="1"/>
  <c r="R47" i="1" s="1"/>
  <c r="T47" i="1" s="1"/>
  <c r="Q46" i="1"/>
  <c r="R46" i="1" s="1"/>
  <c r="T46" i="1" s="1"/>
  <c r="Q45" i="1"/>
  <c r="R45" i="1" s="1"/>
  <c r="T45" i="1" s="1"/>
  <c r="Q44" i="1"/>
  <c r="R44" i="1" s="1"/>
  <c r="T44" i="1" s="1"/>
  <c r="Q43" i="1"/>
  <c r="R43" i="1" s="1"/>
  <c r="T43" i="1" s="1"/>
  <c r="Q42" i="1"/>
  <c r="R42" i="1" s="1"/>
  <c r="T42" i="1" s="1"/>
  <c r="Q41" i="1"/>
  <c r="R41" i="1" s="1"/>
  <c r="T41" i="1" s="1"/>
  <c r="Q40" i="1"/>
  <c r="R40" i="1" s="1"/>
  <c r="T40" i="1" s="1"/>
  <c r="Q39" i="1"/>
  <c r="R39" i="1" s="1"/>
  <c r="T39" i="1" s="1"/>
  <c r="Q38" i="1"/>
  <c r="R38" i="1" s="1"/>
  <c r="T38" i="1" s="1"/>
  <c r="Q37" i="1"/>
  <c r="R37" i="1" s="1"/>
  <c r="T37" i="1" s="1"/>
  <c r="Q36" i="1"/>
  <c r="R36" i="1" s="1"/>
  <c r="T36" i="1" s="1"/>
  <c r="Q35" i="1"/>
  <c r="R35" i="1" s="1"/>
  <c r="T35" i="1" s="1"/>
  <c r="Q34" i="1"/>
  <c r="R34" i="1" s="1"/>
  <c r="T34" i="1" s="1"/>
  <c r="Q33" i="1"/>
  <c r="R33" i="1" s="1"/>
  <c r="T33" i="1" s="1"/>
  <c r="Q32" i="1"/>
  <c r="R32" i="1" s="1"/>
  <c r="T32" i="1" s="1"/>
  <c r="Q31" i="1"/>
  <c r="R31" i="1" s="1"/>
  <c r="T31" i="1" s="1"/>
  <c r="Q30" i="1"/>
  <c r="R30" i="1" s="1"/>
  <c r="T30" i="1" s="1"/>
  <c r="Q29" i="1"/>
  <c r="R29" i="1" s="1"/>
  <c r="T29" i="1" s="1"/>
  <c r="Q28" i="1"/>
  <c r="R28" i="1" s="1"/>
  <c r="T28" i="1" s="1"/>
  <c r="Q27" i="1"/>
  <c r="R27" i="1" s="1"/>
  <c r="T27" i="1" s="1"/>
  <c r="Q26" i="1"/>
  <c r="R26" i="1" s="1"/>
  <c r="T26" i="1" s="1"/>
  <c r="Q25" i="1"/>
  <c r="R25" i="1" s="1"/>
  <c r="T25" i="1" s="1"/>
  <c r="Q24" i="1"/>
  <c r="R24" i="1" s="1"/>
  <c r="T24" i="1" s="1"/>
  <c r="Q23" i="1"/>
  <c r="R23" i="1" s="1"/>
  <c r="T23" i="1" s="1"/>
  <c r="Q22" i="1"/>
  <c r="R22" i="1" s="1"/>
  <c r="T22" i="1" s="1"/>
  <c r="Q21" i="1"/>
  <c r="R21" i="1" s="1"/>
  <c r="T21" i="1" s="1"/>
  <c r="Q20" i="1"/>
  <c r="R20" i="1" s="1"/>
  <c r="T20" i="1" s="1"/>
  <c r="Q19" i="1"/>
  <c r="R19" i="1" s="1"/>
  <c r="T19" i="1" s="1"/>
  <c r="Q18" i="1"/>
  <c r="R18" i="1" s="1"/>
  <c r="T18" i="1" s="1"/>
  <c r="Q17" i="1"/>
  <c r="R17" i="1" s="1"/>
  <c r="T17" i="1" s="1"/>
  <c r="Q16" i="1"/>
  <c r="R16" i="1" s="1"/>
  <c r="T16" i="1" s="1"/>
  <c r="Q15" i="1"/>
  <c r="R15" i="1" s="1"/>
  <c r="T15" i="1" s="1"/>
  <c r="Q14" i="1"/>
  <c r="R14" i="1" s="1"/>
  <c r="T14" i="1" s="1"/>
  <c r="Q13" i="1"/>
  <c r="R13" i="1" s="1"/>
  <c r="T13" i="1" s="1"/>
  <c r="Q12" i="1"/>
  <c r="R12" i="1" s="1"/>
  <c r="T12" i="1" s="1"/>
  <c r="Q11" i="1"/>
  <c r="R11" i="1" s="1"/>
  <c r="T11" i="1" s="1"/>
  <c r="Q10" i="1"/>
  <c r="R10" i="1" s="1"/>
  <c r="T10" i="1" s="1"/>
  <c r="Q9" i="1"/>
  <c r="R9" i="1" s="1"/>
  <c r="T9" i="1" s="1"/>
  <c r="Q8" i="1"/>
  <c r="R8" i="1" s="1"/>
  <c r="T8" i="1" s="1"/>
  <c r="Q7" i="1"/>
  <c r="R7" i="1" s="1"/>
  <c r="T7" i="1" s="1"/>
  <c r="Q6" i="1"/>
  <c r="R6" i="1" s="1"/>
  <c r="T6" i="1" s="1"/>
  <c r="Q5" i="1"/>
  <c r="R5" i="1" s="1"/>
  <c r="T5" i="1" s="1"/>
  <c r="Q4" i="1"/>
  <c r="R4" i="1" s="1"/>
  <c r="T4" i="1" s="1"/>
  <c r="Q3" i="1"/>
  <c r="R3" i="1" s="1"/>
  <c r="T3" i="1" s="1"/>
  <c r="Q2" i="1"/>
  <c r="R2" i="1" s="1"/>
  <c r="T2" i="1" s="1"/>
  <c r="S113" i="1" l="1"/>
  <c r="S110" i="1"/>
  <c r="S112" i="1"/>
  <c r="S55" i="3"/>
  <c r="S3" i="3"/>
  <c r="S91" i="2"/>
  <c r="S4" i="2"/>
  <c r="S8" i="2"/>
  <c r="S111" i="1"/>
  <c r="S102" i="1"/>
  <c r="S99" i="1"/>
  <c r="S89" i="1"/>
  <c r="S101" i="1"/>
  <c r="S88" i="1"/>
  <c r="S93" i="1"/>
  <c r="S58" i="1"/>
  <c r="S64" i="1"/>
  <c r="S91" i="1"/>
  <c r="S67" i="1"/>
  <c r="S68" i="1"/>
  <c r="S47" i="1"/>
  <c r="S65" i="1"/>
  <c r="S38" i="1"/>
  <c r="S41" i="1"/>
  <c r="S53" i="1"/>
  <c r="S37" i="1"/>
  <c r="S32" i="1"/>
  <c r="S34" i="1"/>
  <c r="S15" i="1"/>
  <c r="S18" i="1"/>
  <c r="S3" i="1"/>
  <c r="S2" i="1"/>
  <c r="S4" i="1"/>
  <c r="S7" i="3"/>
  <c r="S11" i="3"/>
  <c r="S16" i="2"/>
  <c r="S28" i="2"/>
  <c r="S39" i="2"/>
  <c r="S47" i="2"/>
  <c r="S60" i="2"/>
  <c r="S78" i="2"/>
  <c r="S86" i="2"/>
  <c r="S99" i="2"/>
  <c r="S16" i="1"/>
  <c r="S20" i="1"/>
  <c r="S28" i="1"/>
  <c r="S31" i="1"/>
  <c r="S35" i="1"/>
  <c r="S39" i="1"/>
  <c r="S43" i="1"/>
  <c r="S57" i="1"/>
  <c r="S56" i="1"/>
  <c r="S60" i="1"/>
  <c r="S70" i="1"/>
  <c r="S74" i="1"/>
  <c r="S78" i="1"/>
  <c r="S82" i="1"/>
  <c r="S86" i="1"/>
  <c r="S95" i="1"/>
  <c r="S103" i="1"/>
  <c r="S107" i="1"/>
  <c r="S114" i="1"/>
  <c r="S3" i="2"/>
  <c r="S7" i="2"/>
  <c r="S11" i="2"/>
  <c r="S15" i="2"/>
  <c r="S19" i="2"/>
  <c r="S23" i="2"/>
  <c r="S27" i="2"/>
  <c r="S20" i="2"/>
  <c r="S31" i="2"/>
  <c r="S54" i="2"/>
  <c r="S53" i="2"/>
  <c r="S64" i="2"/>
  <c r="S74" i="2"/>
  <c r="S82" i="2"/>
  <c r="S107" i="2"/>
  <c r="S8" i="1"/>
  <c r="S12" i="1"/>
  <c r="S24" i="1"/>
  <c r="S7" i="1"/>
  <c r="S11" i="1"/>
  <c r="S19" i="1"/>
  <c r="S23" i="1"/>
  <c r="S27" i="1"/>
  <c r="S42" i="1"/>
  <c r="S46" i="1"/>
  <c r="S55" i="1"/>
  <c r="S50" i="1"/>
  <c r="S59" i="1"/>
  <c r="S69" i="1"/>
  <c r="S73" i="1"/>
  <c r="S77" i="1"/>
  <c r="S81" i="1"/>
  <c r="S85" i="1"/>
  <c r="S92" i="1"/>
  <c r="S94" i="1"/>
  <c r="S98" i="1"/>
  <c r="S106" i="1"/>
  <c r="S2" i="2"/>
  <c r="S6" i="2"/>
  <c r="S10" i="2"/>
  <c r="S14" i="2"/>
  <c r="S18" i="2"/>
  <c r="S22" i="2"/>
  <c r="S26" i="2"/>
  <c r="S30" i="2"/>
  <c r="S5" i="1"/>
  <c r="S9" i="1"/>
  <c r="S13" i="1"/>
  <c r="S17" i="1"/>
  <c r="S21" i="1"/>
  <c r="S25" i="1"/>
  <c r="S29" i="1"/>
  <c r="S36" i="1"/>
  <c r="S40" i="1"/>
  <c r="S44" i="1"/>
  <c r="S48" i="1"/>
  <c r="S51" i="1"/>
  <c r="S63" i="1"/>
  <c r="S61" i="1"/>
  <c r="S71" i="1"/>
  <c r="S75" i="1"/>
  <c r="S79" i="1"/>
  <c r="S83" i="1"/>
  <c r="S87" i="1"/>
  <c r="S96" i="1"/>
  <c r="S100" i="1"/>
  <c r="S104" i="1"/>
  <c r="S108" i="1"/>
  <c r="S115" i="1"/>
  <c r="S12" i="2"/>
  <c r="S24" i="2"/>
  <c r="S35" i="2"/>
  <c r="S42" i="2"/>
  <c r="S67" i="2"/>
  <c r="S70" i="2"/>
  <c r="S89" i="2"/>
  <c r="S95" i="2"/>
  <c r="S103" i="2"/>
  <c r="S114" i="2"/>
  <c r="S6" i="1"/>
  <c r="S10" i="1"/>
  <c r="S14" i="1"/>
  <c r="S22" i="1"/>
  <c r="S26" i="1"/>
  <c r="S30" i="1"/>
  <c r="S33" i="1"/>
  <c r="S45" i="1"/>
  <c r="S49" i="1"/>
  <c r="S54" i="1"/>
  <c r="S52" i="1"/>
  <c r="S66" i="1"/>
  <c r="S62" i="1"/>
  <c r="S72" i="1"/>
  <c r="S76" i="1"/>
  <c r="S80" i="1"/>
  <c r="S84" i="1"/>
  <c r="S90" i="1"/>
  <c r="S97" i="1"/>
  <c r="S105" i="1"/>
  <c r="S109" i="1"/>
  <c r="S116" i="1"/>
  <c r="S5" i="2"/>
  <c r="S9" i="2"/>
  <c r="S13" i="2"/>
  <c r="S17" i="2"/>
  <c r="S21" i="2"/>
  <c r="S25" i="2"/>
  <c r="S29" i="2"/>
  <c r="S15" i="3"/>
  <c r="S19" i="3"/>
  <c r="S23" i="3"/>
  <c r="S27" i="3"/>
  <c r="S34" i="3"/>
  <c r="S40" i="3"/>
  <c r="S42" i="3"/>
  <c r="S48" i="3"/>
  <c r="S54" i="3"/>
  <c r="S68" i="3"/>
  <c r="S53" i="3"/>
  <c r="S61" i="3"/>
  <c r="S64" i="3"/>
  <c r="S71" i="3"/>
  <c r="S74" i="3"/>
  <c r="S79" i="3"/>
  <c r="S82" i="3"/>
  <c r="S87" i="3"/>
  <c r="S88" i="3"/>
  <c r="S92" i="3"/>
  <c r="S94" i="3"/>
  <c r="S96" i="3"/>
  <c r="S98" i="3"/>
  <c r="S100" i="3"/>
  <c r="S102" i="3"/>
  <c r="S104" i="3"/>
  <c r="S106" i="3"/>
  <c r="S108" i="3"/>
  <c r="S110" i="3"/>
  <c r="S111" i="3"/>
  <c r="S113" i="3"/>
  <c r="S115" i="3"/>
  <c r="S34" i="2"/>
  <c r="S38" i="2"/>
  <c r="S43" i="2"/>
  <c r="S46" i="2"/>
  <c r="S51" i="2"/>
  <c r="S58" i="2"/>
  <c r="S52" i="2"/>
  <c r="S59" i="2"/>
  <c r="S63" i="2"/>
  <c r="S69" i="2"/>
  <c r="S73" i="2"/>
  <c r="S77" i="2"/>
  <c r="S81" i="2"/>
  <c r="S85" i="2"/>
  <c r="S88" i="2"/>
  <c r="S94" i="2"/>
  <c r="S98" i="2"/>
  <c r="S102" i="2"/>
  <c r="S106" i="2"/>
  <c r="S110" i="2"/>
  <c r="S113" i="2"/>
  <c r="S2" i="3"/>
  <c r="S37" i="2"/>
  <c r="S45" i="2"/>
  <c r="S57" i="2"/>
  <c r="S66" i="2"/>
  <c r="S76" i="2"/>
  <c r="S80" i="2"/>
  <c r="S97" i="2"/>
  <c r="S101" i="2"/>
  <c r="S109" i="2"/>
  <c r="S112" i="2"/>
  <c r="S5" i="3"/>
  <c r="S13" i="3"/>
  <c r="S25" i="3"/>
  <c r="S33" i="2"/>
  <c r="S41" i="2"/>
  <c r="S49" i="2"/>
  <c r="S50" i="2"/>
  <c r="S62" i="2"/>
  <c r="S72" i="2"/>
  <c r="S84" i="2"/>
  <c r="S90" i="2"/>
  <c r="S93" i="2"/>
  <c r="S105" i="2"/>
  <c r="S116" i="2"/>
  <c r="S9" i="3"/>
  <c r="S17" i="3"/>
  <c r="S21" i="3"/>
  <c r="S32" i="2"/>
  <c r="S36" i="2"/>
  <c r="S40" i="2"/>
  <c r="S44" i="2"/>
  <c r="S48" i="2"/>
  <c r="S55" i="2"/>
  <c r="S68" i="2"/>
  <c r="S56" i="2"/>
  <c r="S61" i="2"/>
  <c r="S65" i="2"/>
  <c r="S71" i="2"/>
  <c r="S75" i="2"/>
  <c r="S79" i="2"/>
  <c r="S83" i="2"/>
  <c r="S6" i="3"/>
  <c r="S10" i="3"/>
  <c r="S14" i="3"/>
  <c r="S18" i="3"/>
  <c r="S22" i="3"/>
  <c r="S26" i="3"/>
  <c r="S30" i="3"/>
  <c r="S33" i="3"/>
  <c r="S37" i="3"/>
  <c r="S43" i="3"/>
  <c r="S45" i="3"/>
  <c r="S51" i="3"/>
  <c r="S52" i="3"/>
  <c r="S57" i="3"/>
  <c r="S63" i="3"/>
  <c r="S66" i="3"/>
  <c r="S73" i="3"/>
  <c r="S76" i="3"/>
  <c r="S81" i="3"/>
  <c r="S84" i="3"/>
  <c r="S29" i="3"/>
  <c r="S32" i="3"/>
  <c r="S36" i="3"/>
  <c r="S39" i="3"/>
  <c r="S44" i="3"/>
  <c r="S47" i="3"/>
  <c r="S67" i="3"/>
  <c r="S56" i="3"/>
  <c r="S60" i="3"/>
  <c r="S65" i="3"/>
  <c r="S70" i="3"/>
  <c r="S75" i="3"/>
  <c r="S78" i="3"/>
  <c r="S83" i="3"/>
  <c r="S86" i="3"/>
  <c r="S89" i="3"/>
  <c r="S90" i="3"/>
  <c r="S91" i="3"/>
  <c r="S93" i="3"/>
  <c r="S95" i="3"/>
  <c r="S97" i="3"/>
  <c r="S99" i="3"/>
  <c r="S101" i="3"/>
  <c r="S103" i="3"/>
  <c r="S105" i="3"/>
  <c r="S107" i="3"/>
  <c r="S109" i="3"/>
  <c r="S112" i="3"/>
  <c r="S87" i="2"/>
  <c r="S92" i="2"/>
  <c r="S96" i="2"/>
  <c r="S100" i="2"/>
  <c r="S104" i="2"/>
  <c r="S108" i="2"/>
  <c r="S111" i="2"/>
  <c r="S115" i="2"/>
  <c r="S4" i="3"/>
  <c r="S8" i="3"/>
  <c r="S12" i="3"/>
  <c r="S16" i="3"/>
  <c r="S20" i="3"/>
  <c r="S24" i="3"/>
  <c r="S28" i="3"/>
  <c r="S31" i="3"/>
  <c r="S35" i="3"/>
  <c r="S38" i="3"/>
  <c r="S41" i="3"/>
  <c r="S46" i="3"/>
  <c r="S49" i="3"/>
  <c r="S58" i="3"/>
  <c r="S50" i="3"/>
  <c r="S59" i="3"/>
  <c r="S62" i="3"/>
  <c r="S69" i="3"/>
  <c r="S72" i="3"/>
  <c r="S77" i="3"/>
  <c r="S80" i="3"/>
  <c r="S85" i="3"/>
  <c r="S114" i="3"/>
  <c r="S116" i="3"/>
</calcChain>
</file>

<file path=xl/sharedStrings.xml><?xml version="1.0" encoding="utf-8"?>
<sst xmlns="http://schemas.openxmlformats.org/spreadsheetml/2006/main" count="750" uniqueCount="137">
  <si>
    <t>N°</t>
  </si>
  <si>
    <t>Nom &amp; Prénom</t>
  </si>
  <si>
    <t>Sexe</t>
  </si>
  <si>
    <t>Exercices d'obsevation</t>
  </si>
  <si>
    <t>Expression
 orale</t>
  </si>
  <si>
    <t>Recit/
chant</t>
  </si>
  <si>
    <t>Lecture</t>
  </si>
  <si>
    <t>Écriture</t>
  </si>
  <si>
    <t>Copie</t>
  </si>
  <si>
    <t>Dictée</t>
  </si>
  <si>
    <t>Dessin</t>
  </si>
  <si>
    <t>Calcul</t>
  </si>
  <si>
    <t>EMC</t>
  </si>
  <si>
    <t>TIC</t>
  </si>
  <si>
    <t>Total</t>
  </si>
  <si>
    <t>Moyenne</t>
  </si>
  <si>
    <t>Rang</t>
  </si>
  <si>
    <t>Observation</t>
  </si>
  <si>
    <t>M</t>
  </si>
  <si>
    <t>Badini Asséta</t>
  </si>
  <si>
    <t>F</t>
  </si>
  <si>
    <t>Badini Awa</t>
  </si>
  <si>
    <t>Badini Mouhaïmine</t>
  </si>
  <si>
    <t>Badini Oumou Hayra</t>
  </si>
  <si>
    <t>Badini Ousmane</t>
  </si>
  <si>
    <t>Badini Safoura</t>
  </si>
  <si>
    <t>Badini Zaharaou</t>
  </si>
  <si>
    <t>Belem Aziz</t>
  </si>
  <si>
    <t>Belem Idrissa</t>
  </si>
  <si>
    <t>Belem Mouniratou</t>
  </si>
  <si>
    <t>Boena Djémilatou</t>
  </si>
  <si>
    <t>Boena Rainatou</t>
  </si>
  <si>
    <t>Gassambé Aminata</t>
  </si>
  <si>
    <t>Guiro Faousiatou</t>
  </si>
  <si>
    <t>Kindo Boureima</t>
  </si>
  <si>
    <t>Kindo Fadilatou</t>
  </si>
  <si>
    <t>Kindo Fatao</t>
  </si>
  <si>
    <t>Kindo Gisèle</t>
  </si>
  <si>
    <t>Kindo Hamadé</t>
  </si>
  <si>
    <t>Kindo Ibrahim de Saidou</t>
  </si>
  <si>
    <t>Kindo Limata</t>
  </si>
  <si>
    <t>Kindo Mouhidine</t>
  </si>
  <si>
    <t>Kindo Mouhsine</t>
  </si>
  <si>
    <t>Kindo Mounira</t>
  </si>
  <si>
    <t>Kindo Oumou Hayra</t>
  </si>
  <si>
    <t>Kindo Oussama</t>
  </si>
  <si>
    <t>Kindo Zalissa</t>
  </si>
  <si>
    <t>Maiga Fadilatou</t>
  </si>
  <si>
    <t>Maiga Imane</t>
  </si>
  <si>
    <t>Maiga Kaoussara</t>
  </si>
  <si>
    <t>Maiga Moubarack</t>
  </si>
  <si>
    <t>Maiga Moubassirou</t>
  </si>
  <si>
    <t>Maiga Nouriatou</t>
  </si>
  <si>
    <t>Maiga Nématou</t>
  </si>
  <si>
    <t>Maiga Ouassilatou</t>
  </si>
  <si>
    <t>Maiga Rachidatou</t>
  </si>
  <si>
    <t>Maiga Sahadatou</t>
  </si>
  <si>
    <t>Maiga Zalissa</t>
  </si>
  <si>
    <t>Maiga Zeonabou</t>
  </si>
  <si>
    <t>Ouédraogo Adama</t>
  </si>
  <si>
    <t>Ouédraogo Asséta</t>
  </si>
  <si>
    <t>Ouédraogo Awa</t>
  </si>
  <si>
    <t>Ouédraogo Fatimata</t>
  </si>
  <si>
    <t>Ouédraogo Habibou</t>
  </si>
  <si>
    <t>Ouédraogo Issa</t>
  </si>
  <si>
    <t>Ouédraogo Kassoum</t>
  </si>
  <si>
    <t>Ouédraogo Madi</t>
  </si>
  <si>
    <t>Ouédraogo Mamadi</t>
  </si>
  <si>
    <t>Ouédraogo Mariam</t>
  </si>
  <si>
    <t>Ouédraogo Mouhaïmine</t>
  </si>
  <si>
    <t>Ouédraogo Moustapha</t>
  </si>
  <si>
    <t>Ouédraogo Nouriatou</t>
  </si>
  <si>
    <t>Ouédraogo Sakinatou</t>
  </si>
  <si>
    <t>Sana Awa</t>
  </si>
  <si>
    <t>Sana Charifatou</t>
  </si>
  <si>
    <t>Sana Ramata</t>
  </si>
  <si>
    <t>Sawadogo Abdoul Fatao</t>
  </si>
  <si>
    <t>Sawadogo Abdoul Hakim</t>
  </si>
  <si>
    <t>Sawadogo Adja Rainatou</t>
  </si>
  <si>
    <t>Sawadogo Asmaou</t>
  </si>
  <si>
    <t>Sawadogo Assami</t>
  </si>
  <si>
    <t>Sawadogo Awa</t>
  </si>
  <si>
    <t>Sawadogo Bassirou</t>
  </si>
  <si>
    <t>Sawadogo Bibata de Aziz</t>
  </si>
  <si>
    <t>Sawadogo Bibata de Rasmané</t>
  </si>
  <si>
    <t>Sawadogo Daha</t>
  </si>
  <si>
    <t>Sawadogo Fatao de Boukari</t>
  </si>
  <si>
    <t>Sawadogo Fatimata</t>
  </si>
  <si>
    <t>Sawadogo Fatimata Bintou Zaharaou</t>
  </si>
  <si>
    <t>Sawadogo Guelilou</t>
  </si>
  <si>
    <t>Sawadogo Guemalou</t>
  </si>
  <si>
    <t>Sawadogo Habiboulaye de Boureima</t>
  </si>
  <si>
    <t>Sawadogo Halim</t>
  </si>
  <si>
    <t>Sawadogo Harouna de Abdoulaye</t>
  </si>
  <si>
    <t>Sawadogo Harouna de Ali</t>
  </si>
  <si>
    <t>Sawadogo Ilham</t>
  </si>
  <si>
    <t>Sawadogo Imam de Amidou</t>
  </si>
  <si>
    <t>Sawadogo Imane de Hamadé</t>
  </si>
  <si>
    <t>Sawadogo Issaka</t>
  </si>
  <si>
    <t>Sawadogo Ladifatou</t>
  </si>
  <si>
    <t>Sawadogo Nafissatou</t>
  </si>
  <si>
    <t>Sawadogo Oumou Kolsouma de Moctar</t>
  </si>
  <si>
    <t>Sawadogo Oumou-koulsoum de Youssouf</t>
  </si>
  <si>
    <t>Sawadogo Rainatou</t>
  </si>
  <si>
    <t>Sawadogo Ramata</t>
  </si>
  <si>
    <t>Sawadogo Razack</t>
  </si>
  <si>
    <t>Sawadogo Salam</t>
  </si>
  <si>
    <t>Sawadogo Samadou</t>
  </si>
  <si>
    <t>Sawadogo Sidi Mohamed Abdoulaye</t>
  </si>
  <si>
    <t>Sawadogo Sidi Mohamed de Moussa</t>
  </si>
  <si>
    <t>Soro Abdoulaye</t>
  </si>
  <si>
    <t>Soro Zaharata</t>
  </si>
  <si>
    <t>Zango Ali</t>
  </si>
  <si>
    <t>Maiga Aziz</t>
  </si>
  <si>
    <t>Maiga Guelalou</t>
  </si>
  <si>
    <t>Maiga Koulsouma</t>
  </si>
  <si>
    <t>Maiga Malikatou</t>
  </si>
  <si>
    <t>Maiga Mouhsine</t>
  </si>
  <si>
    <t>Maiga Zaharaou</t>
  </si>
  <si>
    <t>Ouédraogo Aguiratou</t>
  </si>
  <si>
    <t>Ouédraogo Banane</t>
  </si>
  <si>
    <t>Ouédraogo Djamilatou</t>
  </si>
  <si>
    <t>Ouédraogo Hakim</t>
  </si>
  <si>
    <t>Ouédraogo Ouassilatou</t>
  </si>
  <si>
    <t>Ouédraogo Oumou Salmata</t>
  </si>
  <si>
    <t>Sawadogo Habiboulaye de Moustapha</t>
  </si>
  <si>
    <t>Sawadogo Harouna de Rasmané</t>
  </si>
  <si>
    <t>Sawadogo Mahamadi</t>
  </si>
  <si>
    <t>Sawadogo Nouroudine</t>
  </si>
  <si>
    <t>Sawadogo Ouda</t>
  </si>
  <si>
    <t>Sawadogo Sidi Madi</t>
  </si>
  <si>
    <t>Sawadogo Soumayatou</t>
  </si>
  <si>
    <t>Badini Abdoul Goudousse</t>
  </si>
  <si>
    <t>Gadiaga Yacouba</t>
  </si>
  <si>
    <t>Kindo Balguissa</t>
  </si>
  <si>
    <t>Age</t>
  </si>
  <si>
    <t>Scolarité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</si>
</sst>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b/>
      <sz val="11"/>
      <color rgb="FFFFFFFF"/>
      <name val="Carlito"/>
    </font>
    <font>
      <sz val="11"/>
      <color rgb="FFFF0000"/>
      <name val="Carlito"/>
    </font>
    <font>
      <b/>
      <sz val="11"/>
      <color rgb="FFFF0000"/>
      <name val="Carlito"/>
    </font>
    <font>
      <sz val="16"/>
      <name val="Script MT Bold"/>
      <family val="4"/>
    </font>
    <font>
      <sz val="14"/>
      <color rgb="FF0070C0"/>
      <name val="Script MT Bold"/>
      <family val="4"/>
    </font>
    <font>
      <sz val="16"/>
      <color rgb="FF0070C0"/>
      <name val="Script MT Bold"/>
      <family val="4"/>
    </font>
    <font>
      <sz val="11"/>
      <color rgb="FF0070C0"/>
      <name val="Carlito"/>
    </font>
    <font>
      <b/>
      <sz val="11"/>
      <color rgb="FF0070C0"/>
      <name val="Carlito"/>
    </font>
    <font>
      <sz val="16"/>
      <color rgb="FFFF0000"/>
      <name val="Script MT Bold"/>
      <family val="4"/>
    </font>
    <font>
      <sz val="14"/>
      <color rgb="FFFF0000"/>
      <name val="Script MT Bold"/>
      <family val="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 wrapText="1"/>
    </xf>
    <xf numFmtId="1" fontId="4" fillId="0" borderId="0" xfId="0" applyNumberFormat="1" applyFont="1" applyAlignment="1">
      <alignment vertical="center" wrapText="1"/>
    </xf>
    <xf numFmtId="2" fontId="4" fillId="0" borderId="0" xfId="0" applyNumberFormat="1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1" fontId="5" fillId="0" borderId="0" xfId="0" applyNumberFormat="1" applyFont="1" applyAlignment="1">
      <alignment vertical="center" wrapText="1"/>
    </xf>
    <xf numFmtId="2" fontId="5" fillId="0" borderId="0" xfId="0" applyNumberFormat="1" applyFont="1" applyAlignment="1">
      <alignment vertical="center" wrapText="1"/>
    </xf>
    <xf numFmtId="0" fontId="7" fillId="0" borderId="0" xfId="0" applyFont="1"/>
    <xf numFmtId="0" fontId="8" fillId="0" borderId="0" xfId="0" applyFont="1"/>
    <xf numFmtId="1" fontId="6" fillId="0" borderId="0" xfId="0" applyNumberFormat="1" applyFont="1" applyAlignment="1">
      <alignment vertical="center" wrapText="1"/>
    </xf>
    <xf numFmtId="2" fontId="6" fillId="0" borderId="0" xfId="0" applyNumberFormat="1" applyFont="1" applyAlignment="1">
      <alignment vertical="center" wrapText="1"/>
    </xf>
    <xf numFmtId="0" fontId="9" fillId="0" borderId="0" xfId="0" applyFont="1" applyAlignment="1">
      <alignment vertical="center" wrapText="1"/>
    </xf>
    <xf numFmtId="1" fontId="9" fillId="0" borderId="0" xfId="0" applyNumberFormat="1" applyFont="1" applyAlignment="1">
      <alignment vertical="center" wrapText="1"/>
    </xf>
    <xf numFmtId="2" fontId="9" fillId="0" borderId="0" xfId="0" applyNumberFormat="1" applyFont="1" applyAlignment="1">
      <alignment vertical="center" wrapText="1"/>
    </xf>
    <xf numFmtId="0" fontId="10" fillId="0" borderId="0" xfId="0" applyFont="1" applyAlignment="1">
      <alignment vertical="center" wrapText="1"/>
    </xf>
    <xf numFmtId="1" fontId="10" fillId="0" borderId="0" xfId="0" applyNumberFormat="1" applyFont="1" applyAlignment="1">
      <alignment vertical="center" wrapText="1"/>
    </xf>
    <xf numFmtId="2" fontId="10" fillId="0" borderId="0" xfId="0" applyNumberFormat="1" applyFont="1" applyAlignment="1">
      <alignment vertical="center" wrapText="1"/>
    </xf>
  </cellXfs>
  <cellStyles count="1">
    <cellStyle name="Normal" xfId="0" builtinId="0"/>
  </cellStyles>
  <dxfs count="65">
    <dxf>
      <font>
        <b val="0"/>
        <strike val="0"/>
        <outline val="0"/>
        <shadow val="0"/>
        <u val="none"/>
        <vertAlign val="baseline"/>
        <sz val="14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4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4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4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4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4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4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4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4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4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4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4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4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4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4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4"/>
        <name val="Script MT Bold"/>
        <family val="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Script MT Bold"/>
        <family val="4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Script MT Bold"/>
        <family val="4"/>
        <scheme val="none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4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70C0"/>
        <name val="Script MT Bold"/>
        <family val="4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70C0"/>
        <name val="Script MT Bold"/>
        <family val="4"/>
        <scheme val="none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Script MT Bold"/>
        <family val="4"/>
        <scheme val="none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70C0"/>
        <name val="Script MT Bold"/>
        <family val="4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70C0"/>
        <name val="Script MT Bold"/>
        <family val="4"/>
        <scheme val="none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6"/>
        <color rgb="FF0070C0"/>
        <name val="Script MT Bold"/>
        <family val="4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70C0"/>
        <name val="Script MT Bold"/>
        <family val="4"/>
        <scheme val="none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color rgb="FF0070C0"/>
      </font>
    </dxf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er_trimestre_H" displayName="Table_1er_trimestre_H" ref="A1:T116" dataDxfId="42">
  <autoFilter ref="A1:T116" xr:uid="{00000000-000C-0000-FFFF-FFFF00000000}"/>
  <sortState xmlns:xlrd2="http://schemas.microsoft.com/office/spreadsheetml/2017/richdata2" ref="A2:T116">
    <sortCondition ref="B1:B116"/>
  </sortState>
  <tableColumns count="20">
    <tableColumn id="1" xr3:uid="{00000000-0010-0000-0000-000001000000}" name="N°" dataDxfId="62"/>
    <tableColumn id="2" xr3:uid="{00000000-0010-0000-0000-000002000000}" name="Nom &amp; Prénom" dataDxfId="61"/>
    <tableColumn id="3" xr3:uid="{00000000-0010-0000-0000-000003000000}" name="Sexe" dataDxfId="60"/>
    <tableColumn id="20" xr3:uid="{BF642357-CF79-4C85-AA57-18613315F4F8}" name="Age" dataDxfId="59"/>
    <tableColumn id="19" xr3:uid="{E63C82C1-7DC8-4CB4-9127-538C7CAAFF3E}" name="Scolarité" dataDxfId="58"/>
    <tableColumn id="4" xr3:uid="{00000000-0010-0000-0000-000004000000}" name="Exercices d'obsevation" dataDxfId="57"/>
    <tableColumn id="5" xr3:uid="{00000000-0010-0000-0000-000005000000}" name="Expression_x000a_ orale" dataDxfId="56"/>
    <tableColumn id="6" xr3:uid="{00000000-0010-0000-0000-000006000000}" name="Recit/_x000a_chant" dataDxfId="55"/>
    <tableColumn id="7" xr3:uid="{00000000-0010-0000-0000-000007000000}" name="Lecture" dataDxfId="54"/>
    <tableColumn id="8" xr3:uid="{00000000-0010-0000-0000-000008000000}" name="Écriture" dataDxfId="53"/>
    <tableColumn id="9" xr3:uid="{00000000-0010-0000-0000-000009000000}" name="Copie" dataDxfId="52"/>
    <tableColumn id="10" xr3:uid="{00000000-0010-0000-0000-00000A000000}" name="Dictée" dataDxfId="51"/>
    <tableColumn id="11" xr3:uid="{00000000-0010-0000-0000-00000B000000}" name="Dessin" dataDxfId="50"/>
    <tableColumn id="12" xr3:uid="{00000000-0010-0000-0000-00000C000000}" name="Calcul" dataDxfId="49"/>
    <tableColumn id="13" xr3:uid="{00000000-0010-0000-0000-00000D000000}" name="EMC" dataDxfId="48"/>
    <tableColumn id="14" xr3:uid="{00000000-0010-0000-0000-00000E000000}" name="TIC" dataDxfId="47"/>
    <tableColumn id="15" xr3:uid="{00000000-0010-0000-0000-00000F000000}" name="Total" dataDxfId="46"/>
    <tableColumn id="16" xr3:uid="{00000000-0010-0000-0000-000010000000}" name="Moyenne" dataDxfId="45"/>
    <tableColumn id="17" xr3:uid="{00000000-0010-0000-0000-000011000000}" name="Rang" dataDxfId="44"/>
    <tableColumn id="18" xr3:uid="{00000000-0010-0000-0000-000012000000}" name="Observation" dataDxfId="43">
      <calculatedColumnFormula>IF(Table_1er_trimestre_H[[#This Row],[Moyenne]]&gt;=5,"Validé","Non Validé")</calculatedColumnFormula>
    </tableColumn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e_trimestre_H" displayName="Table_2e_trimestre_H" ref="A1:T116" dataDxfId="21">
  <autoFilter ref="A1:T116" xr:uid="{00000000-000C-0000-FFFF-FFFF01000000}"/>
  <sortState xmlns:xlrd2="http://schemas.microsoft.com/office/spreadsheetml/2017/richdata2" ref="A2:T116">
    <sortCondition ref="B1:B116"/>
  </sortState>
  <tableColumns count="20">
    <tableColumn id="1" xr3:uid="{00000000-0010-0000-0100-000001000000}" name="N°" dataDxfId="41"/>
    <tableColumn id="2" xr3:uid="{00000000-0010-0000-0100-000002000000}" name="Nom &amp; Prénom" dataDxfId="40"/>
    <tableColumn id="3" xr3:uid="{00000000-0010-0000-0100-000003000000}" name="Sexe" dataDxfId="39"/>
    <tableColumn id="20" xr3:uid="{FD8A178F-C6BB-4B6E-9A08-FECC309B1EA4}" name="Age" dataDxfId="38"/>
    <tableColumn id="19" xr3:uid="{3B5F593B-91A3-40D1-9C93-E27875C873A7}" name="Scolarité" dataDxfId="37"/>
    <tableColumn id="4" xr3:uid="{00000000-0010-0000-0100-000004000000}" name="Exercices d'obsevation" dataDxfId="36"/>
    <tableColumn id="5" xr3:uid="{00000000-0010-0000-0100-000005000000}" name="Expression_x000a_ orale" dataDxfId="35"/>
    <tableColumn id="6" xr3:uid="{00000000-0010-0000-0100-000006000000}" name="Recit/_x000a_chant" dataDxfId="34"/>
    <tableColumn id="7" xr3:uid="{00000000-0010-0000-0100-000007000000}" name="Lecture" dataDxfId="33"/>
    <tableColumn id="8" xr3:uid="{00000000-0010-0000-0100-000008000000}" name="Écriture" dataDxfId="32"/>
    <tableColumn id="9" xr3:uid="{00000000-0010-0000-0100-000009000000}" name="Copie" dataDxfId="31"/>
    <tableColumn id="10" xr3:uid="{00000000-0010-0000-0100-00000A000000}" name="Dictée" dataDxfId="30"/>
    <tableColumn id="11" xr3:uid="{00000000-0010-0000-0100-00000B000000}" name="Dessin" dataDxfId="29"/>
    <tableColumn id="12" xr3:uid="{00000000-0010-0000-0100-00000C000000}" name="Calcul" dataDxfId="28"/>
    <tableColumn id="13" xr3:uid="{00000000-0010-0000-0100-00000D000000}" name="EMC" dataDxfId="27"/>
    <tableColumn id="14" xr3:uid="{00000000-0010-0000-0100-00000E000000}" name="TIC" dataDxfId="26"/>
    <tableColumn id="15" xr3:uid="{00000000-0010-0000-0100-00000F000000}" name="Total" dataDxfId="25"/>
    <tableColumn id="16" xr3:uid="{00000000-0010-0000-0100-000010000000}" name="Moyenne" dataDxfId="24"/>
    <tableColumn id="17" xr3:uid="{00000000-0010-0000-0100-000011000000}" name="Rang" dataDxfId="23"/>
    <tableColumn id="18" xr3:uid="{00000000-0010-0000-0100-000012000000}" name="Observation" dataDxfId="22">
      <calculatedColumnFormula>IF(Table_2e_trimestre_H[[#This Row],[Moyenne]]&gt;=5,"Validé","Non Validé")</calculatedColumnFormula>
    </tableColumn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e_trimestre_H" displayName="Table_3e_trimestre_H" ref="A1:T116" dataDxfId="0">
  <autoFilter ref="A1:T116" xr:uid="{00000000-000C-0000-FFFF-FFFF02000000}"/>
  <sortState xmlns:xlrd2="http://schemas.microsoft.com/office/spreadsheetml/2017/richdata2" ref="A2:T116">
    <sortCondition ref="B1:B116"/>
  </sortState>
  <tableColumns count="20">
    <tableColumn id="1" xr3:uid="{00000000-0010-0000-0200-000001000000}" name="N°" dataDxfId="20"/>
    <tableColumn id="2" xr3:uid="{00000000-0010-0000-0200-000002000000}" name="Nom &amp; Prénom" dataDxfId="19"/>
    <tableColumn id="3" xr3:uid="{00000000-0010-0000-0200-000003000000}" name="Sexe" dataDxfId="18"/>
    <tableColumn id="21" xr3:uid="{BB29000D-F6D5-4DDC-8F04-B1518D01D743}" name="Age" dataDxfId="17"/>
    <tableColumn id="20" xr3:uid="{B320521A-9881-4D58-BF83-C0326ED95421}" name="Scolarité" dataDxfId="16"/>
    <tableColumn id="4" xr3:uid="{00000000-0010-0000-0200-000004000000}" name="Exercices d'obsevation" dataDxfId="15"/>
    <tableColumn id="5" xr3:uid="{00000000-0010-0000-0200-000005000000}" name="Expression_x000a_ orale" dataDxfId="14"/>
    <tableColumn id="6" xr3:uid="{00000000-0010-0000-0200-000006000000}" name="Recit/_x000a_chant" dataDxfId="13"/>
    <tableColumn id="7" xr3:uid="{00000000-0010-0000-0200-000007000000}" name="Lecture" dataDxfId="12"/>
    <tableColumn id="8" xr3:uid="{00000000-0010-0000-0200-000008000000}" name="Écriture" dataDxfId="11"/>
    <tableColumn id="9" xr3:uid="{00000000-0010-0000-0200-000009000000}" name="Copie" dataDxfId="10"/>
    <tableColumn id="10" xr3:uid="{00000000-0010-0000-0200-00000A000000}" name="Dictée" dataDxfId="9"/>
    <tableColumn id="11" xr3:uid="{00000000-0010-0000-0200-00000B000000}" name="Dessin" dataDxfId="8"/>
    <tableColumn id="12" xr3:uid="{00000000-0010-0000-0200-00000C000000}" name="Calcul" dataDxfId="7"/>
    <tableColumn id="13" xr3:uid="{00000000-0010-0000-0200-00000D000000}" name="EMC" dataDxfId="6"/>
    <tableColumn id="14" xr3:uid="{00000000-0010-0000-0200-00000E000000}" name="TIC" dataDxfId="5"/>
    <tableColumn id="15" xr3:uid="{00000000-0010-0000-0200-00000F000000}" name="Total" dataDxfId="4"/>
    <tableColumn id="16" xr3:uid="{00000000-0010-0000-0200-000010000000}" name="Moyenne" dataDxfId="3"/>
    <tableColumn id="17" xr3:uid="{00000000-0010-0000-0200-000011000000}" name="Rang" dataDxfId="2"/>
    <tableColumn id="18" xr3:uid="{00000000-0010-0000-0200-000012000000}" name="Observation" dataDxfId="1">
      <calculatedColumnFormula>IF(Table_3e_trimestre_H[[#This Row],[Moyenne]]&gt;5,"Validé","Non Validé")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6"/>
  <sheetViews>
    <sheetView workbookViewId="0">
      <selection activeCell="D6" sqref="A2:T116"/>
    </sheetView>
  </sheetViews>
  <sheetFormatPr baseColWidth="10" defaultColWidth="9" defaultRowHeight="14.25"/>
  <cols>
    <col min="1" max="1" width="6" customWidth="1"/>
    <col min="2" max="2" width="43.75" customWidth="1"/>
    <col min="3" max="3" width="8" customWidth="1"/>
    <col min="4" max="4" width="7.5" customWidth="1"/>
    <col min="5" max="5" width="7.75" customWidth="1"/>
    <col min="6" max="17" width="10" customWidth="1"/>
    <col min="18" max="18" width="16" customWidth="1"/>
  </cols>
  <sheetData>
    <row r="1" spans="1:20" ht="36" customHeight="1">
      <c r="A1" s="1" t="s">
        <v>0</v>
      </c>
      <c r="B1" s="1" t="s">
        <v>1</v>
      </c>
      <c r="C1" s="1" t="s">
        <v>2</v>
      </c>
      <c r="D1" s="1" t="s">
        <v>135</v>
      </c>
      <c r="E1" s="1" t="s">
        <v>136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0" s="3" customFormat="1" ht="20.25">
      <c r="A2" s="8">
        <v>1</v>
      </c>
      <c r="B2" s="8" t="s">
        <v>132</v>
      </c>
      <c r="C2" s="8" t="s">
        <v>18</v>
      </c>
      <c r="D2" s="7">
        <v>9</v>
      </c>
      <c r="E2" s="7">
        <v>2</v>
      </c>
      <c r="F2" s="13">
        <v>10</v>
      </c>
      <c r="G2" s="13">
        <v>9</v>
      </c>
      <c r="H2" s="13">
        <v>9</v>
      </c>
      <c r="I2" s="13">
        <v>10</v>
      </c>
      <c r="J2" s="13">
        <v>8</v>
      </c>
      <c r="K2" s="13">
        <v>10</v>
      </c>
      <c r="L2" s="13">
        <v>10</v>
      </c>
      <c r="M2" s="13">
        <v>10</v>
      </c>
      <c r="N2" s="13">
        <v>10</v>
      </c>
      <c r="O2" s="13">
        <v>10</v>
      </c>
      <c r="P2" s="13">
        <v>10</v>
      </c>
      <c r="Q2" s="13">
        <f>IF(COUNTA(F2:P2)=0,"",SUM(F2:P2))</f>
        <v>106</v>
      </c>
      <c r="R2" s="14">
        <f>IF(Q2="","",Q2/11)</f>
        <v>9.6363636363636367</v>
      </c>
      <c r="S2" s="8">
        <f>IF(R2="","",1+COUNTIF($R$2:$R$116,"&gt;"&amp;R2))</f>
        <v>6</v>
      </c>
      <c r="T2" s="8" t="str">
        <f>IF(Table_1er_trimestre_H[[#This Row],[Moyenne]]&gt;=5,"Validé","Non Validé")</f>
        <v>Validé</v>
      </c>
    </row>
    <row r="3" spans="1:20" s="3" customFormat="1" ht="20.25">
      <c r="A3" s="15">
        <v>2</v>
      </c>
      <c r="B3" s="15" t="s">
        <v>19</v>
      </c>
      <c r="C3" s="15" t="s">
        <v>20</v>
      </c>
      <c r="D3" s="18">
        <v>8</v>
      </c>
      <c r="E3" s="18">
        <v>2</v>
      </c>
      <c r="F3" s="16">
        <v>8</v>
      </c>
      <c r="G3" s="16">
        <v>9</v>
      </c>
      <c r="H3" s="16">
        <v>8</v>
      </c>
      <c r="I3" s="16">
        <v>9</v>
      </c>
      <c r="J3" s="16">
        <v>9</v>
      </c>
      <c r="K3" s="16">
        <v>10</v>
      </c>
      <c r="L3" s="16">
        <v>9</v>
      </c>
      <c r="M3" s="16">
        <v>8</v>
      </c>
      <c r="N3" s="16">
        <v>9</v>
      </c>
      <c r="O3" s="16">
        <v>10</v>
      </c>
      <c r="P3" s="16">
        <v>9</v>
      </c>
      <c r="Q3" s="16">
        <f>IF(COUNTA(F3:P3)=0,"",SUM(F3:P3))</f>
        <v>98</v>
      </c>
      <c r="R3" s="17">
        <f>IF(Q3="","",Q3/11)</f>
        <v>8.9090909090909083</v>
      </c>
      <c r="S3" s="15">
        <f>IF(R3="","",1+COUNTIF($R$2:$R$116,"&gt;"&amp;R3))</f>
        <v>23</v>
      </c>
      <c r="T3" s="15" t="str">
        <f>IF(Table_1er_trimestre_H[[#This Row],[Moyenne]]&gt;=5,"Validé","Non Validé")</f>
        <v>Validé</v>
      </c>
    </row>
    <row r="4" spans="1:20" s="3" customFormat="1" ht="20.25">
      <c r="A4" s="15">
        <v>3</v>
      </c>
      <c r="B4" s="15" t="s">
        <v>21</v>
      </c>
      <c r="C4" s="15" t="s">
        <v>20</v>
      </c>
      <c r="D4" s="18">
        <v>8</v>
      </c>
      <c r="E4" s="18">
        <v>2</v>
      </c>
      <c r="F4" s="16">
        <v>6</v>
      </c>
      <c r="G4" s="16">
        <v>6</v>
      </c>
      <c r="H4" s="16">
        <v>8</v>
      </c>
      <c r="I4" s="16">
        <v>9</v>
      </c>
      <c r="J4" s="16">
        <v>9</v>
      </c>
      <c r="K4" s="16">
        <v>10</v>
      </c>
      <c r="L4" s="16">
        <v>10</v>
      </c>
      <c r="M4" s="16">
        <v>9</v>
      </c>
      <c r="N4" s="16">
        <v>9</v>
      </c>
      <c r="O4" s="16">
        <v>10</v>
      </c>
      <c r="P4" s="16">
        <v>9</v>
      </c>
      <c r="Q4" s="16">
        <f>IF(COUNTA(F4:P4)=0,"",SUM(F4:P4))</f>
        <v>95</v>
      </c>
      <c r="R4" s="17">
        <f>IF(Q4="","",Q4/11)</f>
        <v>8.6363636363636367</v>
      </c>
      <c r="S4" s="15">
        <f>IF(R4="","",1+COUNTIF($R$2:$R$116,"&gt;"&amp;R4))</f>
        <v>28</v>
      </c>
      <c r="T4" s="15" t="str">
        <f>IF(Table_1er_trimestre_H[[#This Row],[Moyenne]]&gt;=5,"Validé","Non Validé")</f>
        <v>Validé</v>
      </c>
    </row>
    <row r="5" spans="1:20" s="3" customFormat="1" ht="20.25">
      <c r="A5" s="8">
        <v>4</v>
      </c>
      <c r="B5" s="8" t="s">
        <v>22</v>
      </c>
      <c r="C5" s="8" t="s">
        <v>18</v>
      </c>
      <c r="D5" s="7">
        <v>8</v>
      </c>
      <c r="E5" s="7">
        <v>2</v>
      </c>
      <c r="F5" s="13">
        <v>10</v>
      </c>
      <c r="G5" s="13">
        <v>6</v>
      </c>
      <c r="H5" s="13">
        <v>8</v>
      </c>
      <c r="I5" s="13">
        <v>10</v>
      </c>
      <c r="J5" s="13">
        <v>8</v>
      </c>
      <c r="K5" s="13">
        <v>10</v>
      </c>
      <c r="L5" s="13">
        <v>8</v>
      </c>
      <c r="M5" s="13">
        <v>5</v>
      </c>
      <c r="N5" s="13">
        <v>9</v>
      </c>
      <c r="O5" s="13">
        <v>10</v>
      </c>
      <c r="P5" s="13">
        <v>10</v>
      </c>
      <c r="Q5" s="13">
        <f>IF(COUNTA(F5:P5)=0,"",SUM(F5:P5))</f>
        <v>94</v>
      </c>
      <c r="R5" s="14">
        <f>IF(Q5="","",Q5/11)</f>
        <v>8.545454545454545</v>
      </c>
      <c r="S5" s="8">
        <f>IF(R5="","",1+COUNTIF($R$2:$R$116,"&gt;"&amp;R5))</f>
        <v>31</v>
      </c>
      <c r="T5" s="8" t="str">
        <f>IF(Table_1er_trimestre_H[[#This Row],[Moyenne]]&gt;=5,"Validé","Non Validé")</f>
        <v>Validé</v>
      </c>
    </row>
    <row r="6" spans="1:20" ht="20.25">
      <c r="A6" s="15">
        <v>5</v>
      </c>
      <c r="B6" s="15" t="s">
        <v>23</v>
      </c>
      <c r="C6" s="15" t="s">
        <v>20</v>
      </c>
      <c r="D6" s="18">
        <v>8</v>
      </c>
      <c r="E6" s="18">
        <v>2</v>
      </c>
      <c r="F6" s="16">
        <v>9</v>
      </c>
      <c r="G6" s="16">
        <v>10</v>
      </c>
      <c r="H6" s="16">
        <v>8</v>
      </c>
      <c r="I6" s="16">
        <v>6</v>
      </c>
      <c r="J6" s="16">
        <v>7</v>
      </c>
      <c r="K6" s="16">
        <v>10</v>
      </c>
      <c r="L6" s="16">
        <v>4</v>
      </c>
      <c r="M6" s="16">
        <v>8</v>
      </c>
      <c r="N6" s="16">
        <v>6</v>
      </c>
      <c r="O6" s="16">
        <v>10</v>
      </c>
      <c r="P6" s="16">
        <v>6</v>
      </c>
      <c r="Q6" s="16">
        <f>IF(COUNTA(F6:P6)=0,"",SUM(F6:P6))</f>
        <v>84</v>
      </c>
      <c r="R6" s="17">
        <f>IF(Q6="","",Q6/11)</f>
        <v>7.6363636363636367</v>
      </c>
      <c r="S6" s="15">
        <f>IF(R6="","",1+COUNTIF($R$2:$R$116,"&gt;"&amp;R6))</f>
        <v>55</v>
      </c>
      <c r="T6" s="15" t="str">
        <f>IF(Table_1er_trimestre_H[[#This Row],[Moyenne]]&gt;=5,"Validé","Non Validé")</f>
        <v>Validé</v>
      </c>
    </row>
    <row r="7" spans="1:20" ht="20.25">
      <c r="A7" s="8">
        <v>6</v>
      </c>
      <c r="B7" s="8" t="s">
        <v>24</v>
      </c>
      <c r="C7" s="8" t="s">
        <v>18</v>
      </c>
      <c r="D7" s="7">
        <v>8</v>
      </c>
      <c r="E7" s="7">
        <v>2</v>
      </c>
      <c r="F7" s="13">
        <v>9</v>
      </c>
      <c r="G7" s="13">
        <v>10</v>
      </c>
      <c r="H7" s="13">
        <v>8</v>
      </c>
      <c r="I7" s="13">
        <v>10</v>
      </c>
      <c r="J7" s="13">
        <v>8</v>
      </c>
      <c r="K7" s="13">
        <v>10</v>
      </c>
      <c r="L7" s="13">
        <v>10</v>
      </c>
      <c r="M7" s="13">
        <v>7</v>
      </c>
      <c r="N7" s="13">
        <v>9</v>
      </c>
      <c r="O7" s="13">
        <v>10</v>
      </c>
      <c r="P7" s="13">
        <v>10</v>
      </c>
      <c r="Q7" s="13">
        <f>IF(COUNTA(F7:P7)=0,"",SUM(F7:P7))</f>
        <v>101</v>
      </c>
      <c r="R7" s="14">
        <f>IF(Q7="","",Q7/11)</f>
        <v>9.1818181818181817</v>
      </c>
      <c r="S7" s="8">
        <f>IF(R7="","",1+COUNTIF($R$2:$R$116,"&gt;"&amp;R7))</f>
        <v>17</v>
      </c>
      <c r="T7" s="8" t="str">
        <f>IF(Table_1er_trimestre_H[[#This Row],[Moyenne]]&gt;=5,"Validé","Non Validé")</f>
        <v>Validé</v>
      </c>
    </row>
    <row r="8" spans="1:20" s="3" customFormat="1" ht="20.25">
      <c r="A8" s="15">
        <v>7</v>
      </c>
      <c r="B8" s="15" t="s">
        <v>25</v>
      </c>
      <c r="C8" s="15" t="s">
        <v>20</v>
      </c>
      <c r="D8" s="18">
        <v>8</v>
      </c>
      <c r="E8" s="18">
        <v>2</v>
      </c>
      <c r="F8" s="16">
        <v>8</v>
      </c>
      <c r="G8" s="16">
        <v>6</v>
      </c>
      <c r="H8" s="16">
        <v>8</v>
      </c>
      <c r="I8" s="16">
        <v>6</v>
      </c>
      <c r="J8" s="16">
        <v>6</v>
      </c>
      <c r="K8" s="16">
        <v>9</v>
      </c>
      <c r="L8" s="16">
        <v>0</v>
      </c>
      <c r="M8" s="16">
        <v>7</v>
      </c>
      <c r="N8" s="16">
        <v>0</v>
      </c>
      <c r="O8" s="16">
        <v>10</v>
      </c>
      <c r="P8" s="16">
        <v>6</v>
      </c>
      <c r="Q8" s="16">
        <f>IF(COUNTA(F8:P8)=0,"",SUM(F8:P8))</f>
        <v>66</v>
      </c>
      <c r="R8" s="17">
        <f>IF(Q8="","",Q8/11)</f>
        <v>6</v>
      </c>
      <c r="S8" s="15">
        <f>IF(R8="","",1+COUNTIF($R$2:$R$116,"&gt;"&amp;R8))</f>
        <v>99</v>
      </c>
      <c r="T8" s="15" t="str">
        <f>IF(Table_1er_trimestre_H[[#This Row],[Moyenne]]&gt;=5,"Validé","Non Validé")</f>
        <v>Validé</v>
      </c>
    </row>
    <row r="9" spans="1:20" s="3" customFormat="1" ht="20.25">
      <c r="A9" s="15">
        <v>8</v>
      </c>
      <c r="B9" s="15" t="s">
        <v>26</v>
      </c>
      <c r="C9" s="15" t="s">
        <v>20</v>
      </c>
      <c r="D9" s="18">
        <v>8</v>
      </c>
      <c r="E9" s="18">
        <v>2</v>
      </c>
      <c r="F9" s="16">
        <v>8</v>
      </c>
      <c r="G9" s="16">
        <v>6</v>
      </c>
      <c r="H9" s="16">
        <v>8</v>
      </c>
      <c r="I9" s="16">
        <v>9</v>
      </c>
      <c r="J9" s="16">
        <v>10</v>
      </c>
      <c r="K9" s="16">
        <v>10</v>
      </c>
      <c r="L9" s="16">
        <v>0</v>
      </c>
      <c r="M9" s="16">
        <v>7</v>
      </c>
      <c r="N9" s="16">
        <v>8</v>
      </c>
      <c r="O9" s="16">
        <v>10</v>
      </c>
      <c r="P9" s="16">
        <v>9</v>
      </c>
      <c r="Q9" s="16">
        <f>IF(COUNTA(F9:P9)=0,"",SUM(F9:P9))</f>
        <v>85</v>
      </c>
      <c r="R9" s="17">
        <f>IF(Q9="","",Q9/11)</f>
        <v>7.7272727272727275</v>
      </c>
      <c r="S9" s="15">
        <f>IF(R9="","",1+COUNTIF($R$2:$R$116,"&gt;"&amp;R9))</f>
        <v>53</v>
      </c>
      <c r="T9" s="15" t="str">
        <f>IF(Table_1er_trimestre_H[[#This Row],[Moyenne]]&gt;=5,"Validé","Non Validé")</f>
        <v>Validé</v>
      </c>
    </row>
    <row r="10" spans="1:20" s="3" customFormat="1" ht="20.25">
      <c r="A10" s="8">
        <v>9</v>
      </c>
      <c r="B10" s="8" t="s">
        <v>27</v>
      </c>
      <c r="C10" s="8" t="s">
        <v>18</v>
      </c>
      <c r="D10" s="7">
        <v>8</v>
      </c>
      <c r="E10" s="7">
        <v>2</v>
      </c>
      <c r="F10" s="13">
        <v>8</v>
      </c>
      <c r="G10" s="13">
        <v>8</v>
      </c>
      <c r="H10" s="13">
        <v>8</v>
      </c>
      <c r="I10" s="13">
        <v>8</v>
      </c>
      <c r="J10" s="13">
        <v>8</v>
      </c>
      <c r="K10" s="13">
        <v>9</v>
      </c>
      <c r="L10" s="13">
        <v>0</v>
      </c>
      <c r="M10" s="13">
        <v>9</v>
      </c>
      <c r="N10" s="13">
        <v>6</v>
      </c>
      <c r="O10" s="13">
        <v>10</v>
      </c>
      <c r="P10" s="13">
        <v>8</v>
      </c>
      <c r="Q10" s="13">
        <f>IF(COUNTA(F10:P10)=0,"",SUM(F10:P10))</f>
        <v>82</v>
      </c>
      <c r="R10" s="14">
        <f>IF(Q10="","",Q10/11)</f>
        <v>7.4545454545454541</v>
      </c>
      <c r="S10" s="8">
        <f>IF(R10="","",1+COUNTIF($R$2:$R$116,"&gt;"&amp;R10))</f>
        <v>61</v>
      </c>
      <c r="T10" s="8" t="str">
        <f>IF(Table_1er_trimestre_H[[#This Row],[Moyenne]]&gt;=5,"Validé","Non Validé")</f>
        <v>Validé</v>
      </c>
    </row>
    <row r="11" spans="1:20" s="3" customFormat="1" ht="20.25">
      <c r="A11" s="8">
        <v>10</v>
      </c>
      <c r="B11" s="8" t="s">
        <v>28</v>
      </c>
      <c r="C11" s="8" t="s">
        <v>18</v>
      </c>
      <c r="D11" s="7">
        <v>8</v>
      </c>
      <c r="E11" s="7">
        <v>2</v>
      </c>
      <c r="F11" s="13">
        <v>9</v>
      </c>
      <c r="G11" s="13">
        <v>8</v>
      </c>
      <c r="H11" s="13">
        <v>9</v>
      </c>
      <c r="I11" s="13">
        <v>8</v>
      </c>
      <c r="J11" s="13">
        <v>9</v>
      </c>
      <c r="K11" s="13">
        <v>9</v>
      </c>
      <c r="L11" s="13">
        <v>9</v>
      </c>
      <c r="M11" s="13">
        <v>9</v>
      </c>
      <c r="N11" s="13">
        <v>5</v>
      </c>
      <c r="O11" s="13">
        <v>10</v>
      </c>
      <c r="P11" s="13">
        <v>8</v>
      </c>
      <c r="Q11" s="13">
        <f>IF(COUNTA(F11:P11)=0,"",SUM(F11:P11))</f>
        <v>93</v>
      </c>
      <c r="R11" s="14">
        <f>IF(Q11="","",Q11/11)</f>
        <v>8.454545454545455</v>
      </c>
      <c r="S11" s="8">
        <f>IF(R11="","",1+COUNTIF($R$2:$R$116,"&gt;"&amp;R11))</f>
        <v>34</v>
      </c>
      <c r="T11" s="8" t="str">
        <f>IF(Table_1er_trimestre_H[[#This Row],[Moyenne]]&gt;=5,"Validé","Non Validé")</f>
        <v>Validé</v>
      </c>
    </row>
    <row r="12" spans="1:20" s="3" customFormat="1" ht="20.25">
      <c r="A12" s="15">
        <v>11</v>
      </c>
      <c r="B12" s="15" t="s">
        <v>29</v>
      </c>
      <c r="C12" s="15" t="s">
        <v>20</v>
      </c>
      <c r="D12" s="18">
        <v>8</v>
      </c>
      <c r="E12" s="18">
        <v>2</v>
      </c>
      <c r="F12" s="16">
        <v>9</v>
      </c>
      <c r="G12" s="16">
        <v>8</v>
      </c>
      <c r="H12" s="16">
        <v>9</v>
      </c>
      <c r="I12" s="16">
        <v>10</v>
      </c>
      <c r="J12" s="16">
        <v>6</v>
      </c>
      <c r="K12" s="16">
        <v>10</v>
      </c>
      <c r="L12" s="16">
        <v>10</v>
      </c>
      <c r="M12" s="16">
        <v>6</v>
      </c>
      <c r="N12" s="16">
        <v>7</v>
      </c>
      <c r="O12" s="16">
        <v>10</v>
      </c>
      <c r="P12" s="16">
        <v>10</v>
      </c>
      <c r="Q12" s="16">
        <f>IF(COUNTA(F12:P12)=0,"",SUM(F12:P12))</f>
        <v>95</v>
      </c>
      <c r="R12" s="17">
        <f>IF(Q12="","",Q12/11)</f>
        <v>8.6363636363636367</v>
      </c>
      <c r="S12" s="15">
        <f>IF(R12="","",1+COUNTIF($R$2:$R$116,"&gt;"&amp;R12))</f>
        <v>28</v>
      </c>
      <c r="T12" s="15" t="str">
        <f>IF(Table_1er_trimestre_H[[#This Row],[Moyenne]]&gt;=5,"Validé","Non Validé")</f>
        <v>Validé</v>
      </c>
    </row>
    <row r="13" spans="1:20" s="3" customFormat="1" ht="20.25">
      <c r="A13" s="15">
        <v>12</v>
      </c>
      <c r="B13" s="15" t="s">
        <v>30</v>
      </c>
      <c r="C13" s="15" t="s">
        <v>20</v>
      </c>
      <c r="D13" s="18">
        <v>8</v>
      </c>
      <c r="E13" s="18">
        <v>2</v>
      </c>
      <c r="F13" s="16">
        <v>10</v>
      </c>
      <c r="G13" s="16">
        <v>10</v>
      </c>
      <c r="H13" s="16">
        <v>9</v>
      </c>
      <c r="I13" s="16">
        <v>10</v>
      </c>
      <c r="J13" s="16">
        <v>9</v>
      </c>
      <c r="K13" s="16">
        <v>10</v>
      </c>
      <c r="L13" s="16">
        <v>10</v>
      </c>
      <c r="M13" s="16">
        <v>10</v>
      </c>
      <c r="N13" s="16">
        <v>8</v>
      </c>
      <c r="O13" s="16">
        <v>10</v>
      </c>
      <c r="P13" s="16">
        <v>10</v>
      </c>
      <c r="Q13" s="16">
        <f>IF(COUNTA(F13:P13)=0,"",SUM(F13:P13))</f>
        <v>106</v>
      </c>
      <c r="R13" s="17">
        <f>IF(Q13="","",Q13/11)</f>
        <v>9.6363636363636367</v>
      </c>
      <c r="S13" s="15">
        <f>IF(R13="","",1+COUNTIF($R$2:$R$116,"&gt;"&amp;R13))</f>
        <v>6</v>
      </c>
      <c r="T13" s="15" t="str">
        <f>IF(Table_1er_trimestre_H[[#This Row],[Moyenne]]&gt;=5,"Validé","Non Validé")</f>
        <v>Validé</v>
      </c>
    </row>
    <row r="14" spans="1:20" s="3" customFormat="1" ht="20.25">
      <c r="A14" s="15">
        <v>13</v>
      </c>
      <c r="B14" s="15" t="s">
        <v>31</v>
      </c>
      <c r="C14" s="15" t="s">
        <v>20</v>
      </c>
      <c r="D14" s="18">
        <v>8</v>
      </c>
      <c r="E14" s="18">
        <v>2</v>
      </c>
      <c r="F14" s="16">
        <v>10</v>
      </c>
      <c r="G14" s="16">
        <v>10</v>
      </c>
      <c r="H14" s="16">
        <v>9</v>
      </c>
      <c r="I14" s="16">
        <v>10</v>
      </c>
      <c r="J14" s="16">
        <v>9</v>
      </c>
      <c r="K14" s="16">
        <v>10</v>
      </c>
      <c r="L14" s="16">
        <v>9</v>
      </c>
      <c r="M14" s="16">
        <v>10</v>
      </c>
      <c r="N14" s="16">
        <v>10</v>
      </c>
      <c r="O14" s="16">
        <v>10</v>
      </c>
      <c r="P14" s="16">
        <v>10</v>
      </c>
      <c r="Q14" s="16">
        <f>IF(COUNTA(F14:P14)=0,"",SUM(F14:P14))</f>
        <v>107</v>
      </c>
      <c r="R14" s="17">
        <f>IF(Q14="","",Q14/11)</f>
        <v>9.7272727272727266</v>
      </c>
      <c r="S14" s="15">
        <f>IF(R14="","",1+COUNTIF($R$2:$R$116,"&gt;"&amp;R14))</f>
        <v>2</v>
      </c>
      <c r="T14" s="15" t="str">
        <f>IF(Table_1er_trimestre_H[[#This Row],[Moyenne]]&gt;=5,"Validé","Non Validé")</f>
        <v>Validé</v>
      </c>
    </row>
    <row r="15" spans="1:20" s="3" customFormat="1" ht="20.25">
      <c r="A15" s="8">
        <v>14</v>
      </c>
      <c r="B15" s="8" t="s">
        <v>133</v>
      </c>
      <c r="C15" s="8" t="s">
        <v>18</v>
      </c>
      <c r="D15" s="7">
        <v>8</v>
      </c>
      <c r="E15" s="7">
        <v>2</v>
      </c>
      <c r="F15" s="13">
        <v>8</v>
      </c>
      <c r="G15" s="13">
        <v>8</v>
      </c>
      <c r="H15" s="13">
        <v>8</v>
      </c>
      <c r="I15" s="13">
        <v>6</v>
      </c>
      <c r="J15" s="13">
        <v>5</v>
      </c>
      <c r="K15" s="13">
        <v>7</v>
      </c>
      <c r="L15" s="13">
        <v>2</v>
      </c>
      <c r="M15" s="13">
        <v>6</v>
      </c>
      <c r="N15" s="13">
        <v>4</v>
      </c>
      <c r="O15" s="13">
        <v>5</v>
      </c>
      <c r="P15" s="13">
        <v>5</v>
      </c>
      <c r="Q15" s="13">
        <f>IF(COUNTA(F15:P15)=0,"",SUM(F15:P15))</f>
        <v>64</v>
      </c>
      <c r="R15" s="14">
        <f>IF(Q15="","",Q15/11)</f>
        <v>5.8181818181818183</v>
      </c>
      <c r="S15" s="8">
        <f>IF(R15="","",1+COUNTIF($R$2:$R$116,"&gt;"&amp;R15))</f>
        <v>104</v>
      </c>
      <c r="T15" s="8" t="str">
        <f>IF(Table_1er_trimestre_H[[#This Row],[Moyenne]]&gt;=5,"Validé","Non Validé")</f>
        <v>Validé</v>
      </c>
    </row>
    <row r="16" spans="1:20" ht="20.25">
      <c r="A16" s="15">
        <v>15</v>
      </c>
      <c r="B16" s="15" t="s">
        <v>32</v>
      </c>
      <c r="C16" s="15" t="s">
        <v>20</v>
      </c>
      <c r="D16" s="18">
        <v>8</v>
      </c>
      <c r="E16" s="18">
        <v>2</v>
      </c>
      <c r="F16" s="16">
        <v>9</v>
      </c>
      <c r="G16" s="16">
        <v>10</v>
      </c>
      <c r="H16" s="16">
        <v>7</v>
      </c>
      <c r="I16" s="16">
        <v>9</v>
      </c>
      <c r="J16" s="16">
        <v>9</v>
      </c>
      <c r="K16" s="16">
        <v>9</v>
      </c>
      <c r="L16" s="16">
        <v>8</v>
      </c>
      <c r="M16" s="16">
        <v>7</v>
      </c>
      <c r="N16" s="16">
        <v>8</v>
      </c>
      <c r="O16" s="16">
        <v>10</v>
      </c>
      <c r="P16" s="16">
        <v>9</v>
      </c>
      <c r="Q16" s="16">
        <f>IF(COUNTA(F16:P16)=0,"",SUM(F16:P16))</f>
        <v>95</v>
      </c>
      <c r="R16" s="17">
        <f>IF(Q16="","",Q16/11)</f>
        <v>8.6363636363636367</v>
      </c>
      <c r="S16" s="15">
        <f>IF(R16="","",1+COUNTIF($R$2:$R$116,"&gt;"&amp;R16))</f>
        <v>28</v>
      </c>
      <c r="T16" s="15" t="str">
        <f>IF(Table_1er_trimestre_H[[#This Row],[Moyenne]]&gt;=5,"Validé","Non Validé")</f>
        <v>Validé</v>
      </c>
    </row>
    <row r="17" spans="1:20" ht="20.25">
      <c r="A17" s="15">
        <v>16</v>
      </c>
      <c r="B17" s="15" t="s">
        <v>33</v>
      </c>
      <c r="C17" s="15" t="s">
        <v>20</v>
      </c>
      <c r="D17" s="18">
        <v>8</v>
      </c>
      <c r="E17" s="18">
        <v>2</v>
      </c>
      <c r="F17" s="16">
        <v>9</v>
      </c>
      <c r="G17" s="16">
        <v>9</v>
      </c>
      <c r="H17" s="16">
        <v>8</v>
      </c>
      <c r="I17" s="16">
        <v>9</v>
      </c>
      <c r="J17" s="16">
        <v>8</v>
      </c>
      <c r="K17" s="16">
        <v>9</v>
      </c>
      <c r="L17" s="16">
        <v>0</v>
      </c>
      <c r="M17" s="16">
        <v>5</v>
      </c>
      <c r="N17" s="16">
        <v>8</v>
      </c>
      <c r="O17" s="16">
        <v>10</v>
      </c>
      <c r="P17" s="16">
        <v>9</v>
      </c>
      <c r="Q17" s="16">
        <f>IF(COUNTA(F17:P17)=0,"",SUM(F17:P17))</f>
        <v>84</v>
      </c>
      <c r="R17" s="17">
        <f>IF(Q17="","",Q17/11)</f>
        <v>7.6363636363636367</v>
      </c>
      <c r="S17" s="15">
        <f>IF(R17="","",1+COUNTIF($R$2:$R$116,"&gt;"&amp;R17))</f>
        <v>55</v>
      </c>
      <c r="T17" s="15" t="str">
        <f>IF(Table_1er_trimestre_H[[#This Row],[Moyenne]]&gt;=5,"Validé","Non Validé")</f>
        <v>Validé</v>
      </c>
    </row>
    <row r="18" spans="1:20" ht="20.25">
      <c r="A18" s="15">
        <v>17</v>
      </c>
      <c r="B18" s="15" t="s">
        <v>134</v>
      </c>
      <c r="C18" s="15" t="s">
        <v>20</v>
      </c>
      <c r="D18" s="18">
        <v>8</v>
      </c>
      <c r="E18" s="18">
        <v>2</v>
      </c>
      <c r="F18" s="16">
        <v>5</v>
      </c>
      <c r="G18" s="16">
        <v>6</v>
      </c>
      <c r="H18" s="16">
        <v>6</v>
      </c>
      <c r="I18" s="16">
        <v>3</v>
      </c>
      <c r="J18" s="16">
        <v>6</v>
      </c>
      <c r="K18" s="16">
        <v>5</v>
      </c>
      <c r="L18" s="16">
        <v>1</v>
      </c>
      <c r="M18" s="16">
        <v>8</v>
      </c>
      <c r="N18" s="16">
        <v>8</v>
      </c>
      <c r="O18" s="16">
        <v>5</v>
      </c>
      <c r="P18" s="16">
        <v>5</v>
      </c>
      <c r="Q18" s="16">
        <f>IF(COUNTA(F18:P18)=0,"",SUM(F18:P18))</f>
        <v>58</v>
      </c>
      <c r="R18" s="17">
        <f>IF(Q18="","",Q18/11)</f>
        <v>5.2727272727272725</v>
      </c>
      <c r="S18" s="15">
        <f>IF(R18="","",1+COUNTIF($R$2:$R$116,"&gt;"&amp;R18))</f>
        <v>111</v>
      </c>
      <c r="T18" s="15" t="str">
        <f>IF(Table_1er_trimestre_H[[#This Row],[Moyenne]]&gt;=5,"Validé","Non Validé")</f>
        <v>Validé</v>
      </c>
    </row>
    <row r="19" spans="1:20" s="3" customFormat="1" ht="20.25">
      <c r="A19" s="8">
        <v>18</v>
      </c>
      <c r="B19" s="8" t="s">
        <v>34</v>
      </c>
      <c r="C19" s="8" t="s">
        <v>18</v>
      </c>
      <c r="D19" s="7">
        <v>8</v>
      </c>
      <c r="E19" s="7">
        <v>2</v>
      </c>
      <c r="F19" s="13">
        <v>8</v>
      </c>
      <c r="G19" s="13">
        <v>8</v>
      </c>
      <c r="H19" s="13">
        <v>8</v>
      </c>
      <c r="I19" s="13">
        <v>4</v>
      </c>
      <c r="J19" s="13">
        <v>6</v>
      </c>
      <c r="K19" s="13">
        <v>8</v>
      </c>
      <c r="L19" s="13">
        <v>0</v>
      </c>
      <c r="M19" s="13">
        <v>7</v>
      </c>
      <c r="N19" s="13">
        <v>5</v>
      </c>
      <c r="O19" s="13">
        <v>10</v>
      </c>
      <c r="P19" s="13">
        <v>7</v>
      </c>
      <c r="Q19" s="13">
        <f>IF(COUNTA(F19:P19)=0,"",SUM(F19:P19))</f>
        <v>71</v>
      </c>
      <c r="R19" s="14">
        <f>IF(Q19="","",Q19/11)</f>
        <v>6.4545454545454541</v>
      </c>
      <c r="S19" s="8">
        <f>IF(R19="","",1+COUNTIF($R$2:$R$116,"&gt;"&amp;R19))</f>
        <v>92</v>
      </c>
      <c r="T19" s="8" t="str">
        <f>IF(Table_1er_trimestre_H[[#This Row],[Moyenne]]&gt;=5,"Validé","Non Validé")</f>
        <v>Validé</v>
      </c>
    </row>
    <row r="20" spans="1:20" s="3" customFormat="1" ht="20.25">
      <c r="A20" s="15">
        <v>19</v>
      </c>
      <c r="B20" s="15" t="s">
        <v>35</v>
      </c>
      <c r="C20" s="15" t="s">
        <v>20</v>
      </c>
      <c r="D20" s="18">
        <v>8</v>
      </c>
      <c r="E20" s="18">
        <v>2</v>
      </c>
      <c r="F20" s="16">
        <v>8</v>
      </c>
      <c r="G20" s="16">
        <v>4</v>
      </c>
      <c r="H20" s="16">
        <v>8</v>
      </c>
      <c r="I20" s="16">
        <v>5</v>
      </c>
      <c r="J20" s="16">
        <v>5</v>
      </c>
      <c r="K20" s="16">
        <v>6</v>
      </c>
      <c r="L20" s="16">
        <v>0</v>
      </c>
      <c r="M20" s="16">
        <v>5</v>
      </c>
      <c r="N20" s="16">
        <v>0</v>
      </c>
      <c r="O20" s="16">
        <v>10</v>
      </c>
      <c r="P20" s="16">
        <v>5</v>
      </c>
      <c r="Q20" s="16">
        <f>IF(COUNTA(F20:P20)=0,"",SUM(F20:P20))</f>
        <v>56</v>
      </c>
      <c r="R20" s="17">
        <f>IF(Q20="","",Q20/11)</f>
        <v>5.0909090909090908</v>
      </c>
      <c r="S20" s="15">
        <f>IF(R20="","",1+COUNTIF($R$2:$R$116,"&gt;"&amp;R20))</f>
        <v>113</v>
      </c>
      <c r="T20" s="15" t="str">
        <f>IF(Table_1er_trimestre_H[[#This Row],[Moyenne]]&gt;=5,"Validé","Non Validé")</f>
        <v>Validé</v>
      </c>
    </row>
    <row r="21" spans="1:20" ht="20.25">
      <c r="A21" s="8">
        <v>20</v>
      </c>
      <c r="B21" s="8" t="s">
        <v>36</v>
      </c>
      <c r="C21" s="8" t="s">
        <v>18</v>
      </c>
      <c r="D21" s="7">
        <v>8</v>
      </c>
      <c r="E21" s="7">
        <v>2</v>
      </c>
      <c r="F21" s="13">
        <v>10</v>
      </c>
      <c r="G21" s="13">
        <v>8</v>
      </c>
      <c r="H21" s="13">
        <v>7</v>
      </c>
      <c r="I21" s="13">
        <v>6</v>
      </c>
      <c r="J21" s="13">
        <v>8</v>
      </c>
      <c r="K21" s="13">
        <v>9</v>
      </c>
      <c r="L21" s="13">
        <v>2</v>
      </c>
      <c r="M21" s="13">
        <v>7</v>
      </c>
      <c r="N21" s="13">
        <v>5</v>
      </c>
      <c r="O21" s="13">
        <v>10</v>
      </c>
      <c r="P21" s="13">
        <v>6</v>
      </c>
      <c r="Q21" s="13">
        <f>IF(COUNTA(F21:P21)=0,"",SUM(F21:P21))</f>
        <v>78</v>
      </c>
      <c r="R21" s="14">
        <f>IF(Q21="","",Q21/11)</f>
        <v>7.0909090909090908</v>
      </c>
      <c r="S21" s="8">
        <f>IF(R21="","",1+COUNTIF($R$2:$R$116,"&gt;"&amp;R21))</f>
        <v>72</v>
      </c>
      <c r="T21" s="8" t="str">
        <f>IF(Table_1er_trimestre_H[[#This Row],[Moyenne]]&gt;=5,"Validé","Non Validé")</f>
        <v>Validé</v>
      </c>
    </row>
    <row r="22" spans="1:20" s="3" customFormat="1" ht="20.25">
      <c r="A22" s="15">
        <v>21</v>
      </c>
      <c r="B22" s="15" t="s">
        <v>37</v>
      </c>
      <c r="C22" s="15" t="s">
        <v>20</v>
      </c>
      <c r="D22" s="18">
        <v>8</v>
      </c>
      <c r="E22" s="18">
        <v>2</v>
      </c>
      <c r="F22" s="16">
        <v>9</v>
      </c>
      <c r="G22" s="16">
        <v>10</v>
      </c>
      <c r="H22" s="16">
        <v>9</v>
      </c>
      <c r="I22" s="16">
        <v>7</v>
      </c>
      <c r="J22" s="16">
        <v>8</v>
      </c>
      <c r="K22" s="16">
        <v>9</v>
      </c>
      <c r="L22" s="16">
        <v>0</v>
      </c>
      <c r="M22" s="16">
        <v>6</v>
      </c>
      <c r="N22" s="16">
        <v>6</v>
      </c>
      <c r="O22" s="16">
        <v>10</v>
      </c>
      <c r="P22" s="16">
        <v>7</v>
      </c>
      <c r="Q22" s="16">
        <f>IF(COUNTA(F22:P22)=0,"",SUM(F22:P22))</f>
        <v>81</v>
      </c>
      <c r="R22" s="17">
        <f>IF(Q22="","",Q22/11)</f>
        <v>7.3636363636363633</v>
      </c>
      <c r="S22" s="15">
        <f>IF(R22="","",1+COUNTIF($R$2:$R$116,"&gt;"&amp;R22))</f>
        <v>65</v>
      </c>
      <c r="T22" s="15" t="str">
        <f>IF(Table_1er_trimestre_H[[#This Row],[Moyenne]]&gt;=5,"Validé","Non Validé")</f>
        <v>Validé</v>
      </c>
    </row>
    <row r="23" spans="1:20" s="3" customFormat="1" ht="20.25">
      <c r="A23" s="8">
        <v>22</v>
      </c>
      <c r="B23" s="8" t="s">
        <v>38</v>
      </c>
      <c r="C23" s="8" t="s">
        <v>18</v>
      </c>
      <c r="D23" s="7">
        <v>8</v>
      </c>
      <c r="E23" s="7">
        <v>2</v>
      </c>
      <c r="F23" s="13">
        <v>9</v>
      </c>
      <c r="G23" s="13">
        <v>6</v>
      </c>
      <c r="H23" s="13">
        <v>7</v>
      </c>
      <c r="I23" s="13">
        <v>5</v>
      </c>
      <c r="J23" s="13">
        <v>6</v>
      </c>
      <c r="K23" s="13">
        <v>6</v>
      </c>
      <c r="L23" s="13">
        <v>0</v>
      </c>
      <c r="M23" s="13">
        <v>8</v>
      </c>
      <c r="N23" s="13">
        <v>3</v>
      </c>
      <c r="O23" s="13">
        <v>10</v>
      </c>
      <c r="P23" s="13">
        <v>5</v>
      </c>
      <c r="Q23" s="13">
        <f>IF(COUNTA(F23:P23)=0,"",SUM(F23:P23))</f>
        <v>65</v>
      </c>
      <c r="R23" s="14">
        <f>IF(Q23="","",Q23/11)</f>
        <v>5.9090909090909092</v>
      </c>
      <c r="S23" s="8">
        <f>IF(R23="","",1+COUNTIF($R$2:$R$116,"&gt;"&amp;R23))</f>
        <v>101</v>
      </c>
      <c r="T23" s="8" t="str">
        <f>IF(Table_1er_trimestre_H[[#This Row],[Moyenne]]&gt;=5,"Validé","Non Validé")</f>
        <v>Validé</v>
      </c>
    </row>
    <row r="24" spans="1:20" s="3" customFormat="1" ht="20.25">
      <c r="A24" s="8">
        <v>23</v>
      </c>
      <c r="B24" s="8" t="s">
        <v>39</v>
      </c>
      <c r="C24" s="8" t="s">
        <v>18</v>
      </c>
      <c r="D24" s="7">
        <v>8</v>
      </c>
      <c r="E24" s="7">
        <v>2</v>
      </c>
      <c r="F24" s="13">
        <v>3</v>
      </c>
      <c r="G24" s="13">
        <v>6</v>
      </c>
      <c r="H24" s="13">
        <v>6</v>
      </c>
      <c r="I24" s="13">
        <v>4</v>
      </c>
      <c r="J24" s="13">
        <v>5</v>
      </c>
      <c r="K24" s="13">
        <v>8</v>
      </c>
      <c r="L24" s="13">
        <v>0</v>
      </c>
      <c r="M24" s="13">
        <v>8</v>
      </c>
      <c r="N24" s="13">
        <v>4</v>
      </c>
      <c r="O24" s="13">
        <v>10</v>
      </c>
      <c r="P24" s="13">
        <v>4</v>
      </c>
      <c r="Q24" s="13">
        <f>IF(COUNTA(F24:P24)=0,"",SUM(F24:P24))</f>
        <v>58</v>
      </c>
      <c r="R24" s="14">
        <f>IF(Q24="","",Q24/11)</f>
        <v>5.2727272727272725</v>
      </c>
      <c r="S24" s="8">
        <f>IF(R24="","",1+COUNTIF($R$2:$R$116,"&gt;"&amp;R24))</f>
        <v>111</v>
      </c>
      <c r="T24" s="8" t="str">
        <f>IF(Table_1er_trimestre_H[[#This Row],[Moyenne]]&gt;=5,"Validé","Non Validé")</f>
        <v>Validé</v>
      </c>
    </row>
    <row r="25" spans="1:20" ht="20.25">
      <c r="A25" s="15">
        <v>24</v>
      </c>
      <c r="B25" s="15" t="s">
        <v>40</v>
      </c>
      <c r="C25" s="15" t="s">
        <v>20</v>
      </c>
      <c r="D25" s="18">
        <v>8</v>
      </c>
      <c r="E25" s="18">
        <v>2</v>
      </c>
      <c r="F25" s="16">
        <v>8</v>
      </c>
      <c r="G25" s="16">
        <v>6</v>
      </c>
      <c r="H25" s="16">
        <v>8</v>
      </c>
      <c r="I25" s="16">
        <v>9</v>
      </c>
      <c r="J25" s="16">
        <v>6</v>
      </c>
      <c r="K25" s="16">
        <v>8</v>
      </c>
      <c r="L25" s="16">
        <v>0</v>
      </c>
      <c r="M25" s="16">
        <v>7</v>
      </c>
      <c r="N25" s="16">
        <v>0</v>
      </c>
      <c r="O25" s="16">
        <v>10</v>
      </c>
      <c r="P25" s="16">
        <v>6</v>
      </c>
      <c r="Q25" s="16">
        <f>IF(COUNTA(F25:P25)=0,"",SUM(F25:P25))</f>
        <v>68</v>
      </c>
      <c r="R25" s="17">
        <f>IF(Q25="","",Q25/11)</f>
        <v>6.1818181818181817</v>
      </c>
      <c r="S25" s="15">
        <f>IF(R25="","",1+COUNTIF($R$2:$R$116,"&gt;"&amp;R25))</f>
        <v>97</v>
      </c>
      <c r="T25" s="15" t="str">
        <f>IF(Table_1er_trimestre_H[[#This Row],[Moyenne]]&gt;=5,"Validé","Non Validé")</f>
        <v>Validé</v>
      </c>
    </row>
    <row r="26" spans="1:20" s="3" customFormat="1" ht="20.25">
      <c r="A26" s="8">
        <v>25</v>
      </c>
      <c r="B26" s="8" t="s">
        <v>41</v>
      </c>
      <c r="C26" s="8" t="s">
        <v>18</v>
      </c>
      <c r="D26" s="7">
        <v>8</v>
      </c>
      <c r="E26" s="7">
        <v>2</v>
      </c>
      <c r="F26" s="13">
        <v>10</v>
      </c>
      <c r="G26" s="13">
        <v>6</v>
      </c>
      <c r="H26" s="13">
        <v>8</v>
      </c>
      <c r="I26" s="13">
        <v>5</v>
      </c>
      <c r="J26" s="13">
        <v>6</v>
      </c>
      <c r="K26" s="13">
        <v>8</v>
      </c>
      <c r="L26" s="13">
        <v>0</v>
      </c>
      <c r="M26" s="13">
        <v>8</v>
      </c>
      <c r="N26" s="13">
        <v>3</v>
      </c>
      <c r="O26" s="13">
        <v>10</v>
      </c>
      <c r="P26" s="13">
        <v>5</v>
      </c>
      <c r="Q26" s="13">
        <f>IF(COUNTA(F26:P26)=0,"",SUM(F26:P26))</f>
        <v>69</v>
      </c>
      <c r="R26" s="14">
        <f>IF(Q26="","",Q26/11)</f>
        <v>6.2727272727272725</v>
      </c>
      <c r="S26" s="8">
        <f>IF(R26="","",1+COUNTIF($R$2:$R$116,"&gt;"&amp;R26))</f>
        <v>95</v>
      </c>
      <c r="T26" s="8" t="str">
        <f>IF(Table_1er_trimestre_H[[#This Row],[Moyenne]]&gt;=5,"Validé","Non Validé")</f>
        <v>Validé</v>
      </c>
    </row>
    <row r="27" spans="1:20" ht="20.25">
      <c r="A27" s="8">
        <v>26</v>
      </c>
      <c r="B27" s="8" t="s">
        <v>42</v>
      </c>
      <c r="C27" s="8" t="s">
        <v>18</v>
      </c>
      <c r="D27" s="7">
        <v>8</v>
      </c>
      <c r="E27" s="7">
        <v>2</v>
      </c>
      <c r="F27" s="13">
        <v>5</v>
      </c>
      <c r="G27" s="13">
        <v>7</v>
      </c>
      <c r="H27" s="13">
        <v>8</v>
      </c>
      <c r="I27" s="13">
        <v>4</v>
      </c>
      <c r="J27" s="13">
        <v>6</v>
      </c>
      <c r="K27" s="13">
        <v>10</v>
      </c>
      <c r="L27" s="13">
        <v>0</v>
      </c>
      <c r="M27" s="13">
        <v>6</v>
      </c>
      <c r="N27" s="13">
        <v>4</v>
      </c>
      <c r="O27" s="13">
        <v>10</v>
      </c>
      <c r="P27" s="13">
        <v>4</v>
      </c>
      <c r="Q27" s="13">
        <f>IF(COUNTA(F27:P27)=0,"",SUM(F27:P27))</f>
        <v>64</v>
      </c>
      <c r="R27" s="14">
        <f>IF(Q27="","",Q27/11)</f>
        <v>5.8181818181818183</v>
      </c>
      <c r="S27" s="8">
        <f>IF(R27="","",1+COUNTIF($R$2:$R$116,"&gt;"&amp;R27))</f>
        <v>104</v>
      </c>
      <c r="T27" s="8" t="str">
        <f>IF(Table_1er_trimestre_H[[#This Row],[Moyenne]]&gt;=5,"Validé","Non Validé")</f>
        <v>Validé</v>
      </c>
    </row>
    <row r="28" spans="1:20" s="3" customFormat="1" ht="20.25">
      <c r="A28" s="15">
        <v>27</v>
      </c>
      <c r="B28" s="15" t="s">
        <v>43</v>
      </c>
      <c r="C28" s="15" t="s">
        <v>20</v>
      </c>
      <c r="D28" s="18">
        <v>8</v>
      </c>
      <c r="E28" s="18">
        <v>2</v>
      </c>
      <c r="F28" s="16">
        <v>9</v>
      </c>
      <c r="G28" s="16">
        <v>6</v>
      </c>
      <c r="H28" s="16">
        <v>9</v>
      </c>
      <c r="I28" s="16">
        <v>7</v>
      </c>
      <c r="J28" s="16">
        <v>6</v>
      </c>
      <c r="K28" s="16">
        <v>9</v>
      </c>
      <c r="L28" s="16">
        <v>0</v>
      </c>
      <c r="M28" s="16">
        <v>9</v>
      </c>
      <c r="N28" s="16">
        <v>2</v>
      </c>
      <c r="O28" s="16">
        <v>10</v>
      </c>
      <c r="P28" s="16">
        <v>7</v>
      </c>
      <c r="Q28" s="16">
        <f>IF(COUNTA(F28:P28)=0,"",SUM(F28:P28))</f>
        <v>74</v>
      </c>
      <c r="R28" s="17">
        <f>IF(Q28="","",Q28/11)</f>
        <v>6.7272727272727275</v>
      </c>
      <c r="S28" s="15">
        <f>IF(R28="","",1+COUNTIF($R$2:$R$116,"&gt;"&amp;R28))</f>
        <v>88</v>
      </c>
      <c r="T28" s="15" t="str">
        <f>IF(Table_1er_trimestre_H[[#This Row],[Moyenne]]&gt;=5,"Validé","Non Validé")</f>
        <v>Validé</v>
      </c>
    </row>
    <row r="29" spans="1:20" s="3" customFormat="1" ht="20.25">
      <c r="A29" s="15">
        <v>28</v>
      </c>
      <c r="B29" s="15" t="s">
        <v>44</v>
      </c>
      <c r="C29" s="15" t="s">
        <v>20</v>
      </c>
      <c r="D29" s="18">
        <v>8</v>
      </c>
      <c r="E29" s="18">
        <v>2</v>
      </c>
      <c r="F29" s="16">
        <v>10</v>
      </c>
      <c r="G29" s="16">
        <v>7</v>
      </c>
      <c r="H29" s="16">
        <v>8</v>
      </c>
      <c r="I29" s="16">
        <v>7</v>
      </c>
      <c r="J29" s="16">
        <v>4</v>
      </c>
      <c r="K29" s="16">
        <v>3</v>
      </c>
      <c r="L29" s="16">
        <v>0</v>
      </c>
      <c r="M29" s="16">
        <v>5</v>
      </c>
      <c r="N29" s="16">
        <v>2</v>
      </c>
      <c r="O29" s="16">
        <v>10</v>
      </c>
      <c r="P29" s="16">
        <v>4</v>
      </c>
      <c r="Q29" s="16">
        <f>IF(COUNTA(F29:P29)=0,"",SUM(F29:P29))</f>
        <v>60</v>
      </c>
      <c r="R29" s="17">
        <f>IF(Q29="","",Q29/11)</f>
        <v>5.4545454545454541</v>
      </c>
      <c r="S29" s="15">
        <f>IF(R29="","",1+COUNTIF($R$2:$R$116,"&gt;"&amp;R29))</f>
        <v>109</v>
      </c>
      <c r="T29" s="15" t="str">
        <f>IF(Table_1er_trimestre_H[[#This Row],[Moyenne]]&gt;=5,"Validé","Non Validé")</f>
        <v>Validé</v>
      </c>
    </row>
    <row r="30" spans="1:20" s="3" customFormat="1" ht="20.25">
      <c r="A30" s="8">
        <v>29</v>
      </c>
      <c r="B30" s="8" t="s">
        <v>45</v>
      </c>
      <c r="C30" s="8" t="s">
        <v>18</v>
      </c>
      <c r="D30" s="7">
        <v>8</v>
      </c>
      <c r="E30" s="7">
        <v>2</v>
      </c>
      <c r="F30" s="13">
        <v>10</v>
      </c>
      <c r="G30" s="13">
        <v>8</v>
      </c>
      <c r="H30" s="13">
        <v>8</v>
      </c>
      <c r="I30" s="13">
        <v>4</v>
      </c>
      <c r="J30" s="13">
        <v>7</v>
      </c>
      <c r="K30" s="13">
        <v>9</v>
      </c>
      <c r="L30" s="13">
        <v>0</v>
      </c>
      <c r="M30" s="13">
        <v>6</v>
      </c>
      <c r="N30" s="13">
        <v>3</v>
      </c>
      <c r="O30" s="13">
        <v>10</v>
      </c>
      <c r="P30" s="13">
        <v>7</v>
      </c>
      <c r="Q30" s="13">
        <f>IF(COUNTA(F30:P30)=0,"",SUM(F30:P30))</f>
        <v>72</v>
      </c>
      <c r="R30" s="14">
        <f>IF(Q30="","",Q30/11)</f>
        <v>6.5454545454545459</v>
      </c>
      <c r="S30" s="8">
        <f>IF(R30="","",1+COUNTIF($R$2:$R$116,"&gt;"&amp;R30))</f>
        <v>91</v>
      </c>
      <c r="T30" s="8" t="str">
        <f>IF(Table_1er_trimestre_H[[#This Row],[Moyenne]]&gt;=5,"Validé","Non Validé")</f>
        <v>Validé</v>
      </c>
    </row>
    <row r="31" spans="1:20" ht="20.25">
      <c r="A31" s="15">
        <v>30</v>
      </c>
      <c r="B31" s="15" t="s">
        <v>46</v>
      </c>
      <c r="C31" s="15" t="s">
        <v>20</v>
      </c>
      <c r="D31" s="18">
        <v>8</v>
      </c>
      <c r="E31" s="18">
        <v>2</v>
      </c>
      <c r="F31" s="16">
        <v>10</v>
      </c>
      <c r="G31" s="16">
        <v>8</v>
      </c>
      <c r="H31" s="16">
        <v>8</v>
      </c>
      <c r="I31" s="16">
        <v>9</v>
      </c>
      <c r="J31" s="16">
        <v>6</v>
      </c>
      <c r="K31" s="16">
        <v>9</v>
      </c>
      <c r="L31" s="16">
        <v>0</v>
      </c>
      <c r="M31" s="16">
        <v>6</v>
      </c>
      <c r="N31" s="16">
        <v>8</v>
      </c>
      <c r="O31" s="16">
        <v>10</v>
      </c>
      <c r="P31" s="16">
        <v>9</v>
      </c>
      <c r="Q31" s="16">
        <f>IF(COUNTA(F31:P31)=0,"",SUM(F31:P31))</f>
        <v>83</v>
      </c>
      <c r="R31" s="17">
        <f>IF(Q31="","",Q31/11)</f>
        <v>7.5454545454545459</v>
      </c>
      <c r="S31" s="15">
        <f>IF(R31="","",1+COUNTIF($R$2:$R$116,"&gt;"&amp;R31))</f>
        <v>59</v>
      </c>
      <c r="T31" s="15" t="str">
        <f>IF(Table_1er_trimestre_H[[#This Row],[Moyenne]]&gt;=5,"Validé","Non Validé")</f>
        <v>Validé</v>
      </c>
    </row>
    <row r="32" spans="1:20" ht="20.25">
      <c r="A32" s="8">
        <v>31</v>
      </c>
      <c r="B32" s="8" t="s">
        <v>113</v>
      </c>
      <c r="C32" s="8" t="s">
        <v>18</v>
      </c>
      <c r="D32" s="7">
        <v>8</v>
      </c>
      <c r="E32" s="7">
        <v>2</v>
      </c>
      <c r="F32" s="13">
        <v>7</v>
      </c>
      <c r="G32" s="13">
        <v>9</v>
      </c>
      <c r="H32" s="13">
        <v>8</v>
      </c>
      <c r="I32" s="13">
        <v>8</v>
      </c>
      <c r="J32" s="13">
        <v>8</v>
      </c>
      <c r="K32" s="13">
        <v>7</v>
      </c>
      <c r="L32" s="13">
        <v>8</v>
      </c>
      <c r="M32" s="13">
        <v>7</v>
      </c>
      <c r="N32" s="13">
        <v>6</v>
      </c>
      <c r="O32" s="13">
        <v>5</v>
      </c>
      <c r="P32" s="13">
        <v>5</v>
      </c>
      <c r="Q32" s="13">
        <f>IF(COUNTA(F32:P32)=0,"",SUM(F32:P32))</f>
        <v>78</v>
      </c>
      <c r="R32" s="14">
        <f>IF(Q32="","",Q32/11)</f>
        <v>7.0909090909090908</v>
      </c>
      <c r="S32" s="8">
        <f>IF(R32="","",1+COUNTIF($R$2:$R$116,"&gt;"&amp;R32))</f>
        <v>72</v>
      </c>
      <c r="T32" s="8" t="str">
        <f>IF(Table_1er_trimestre_H[[#This Row],[Moyenne]]&gt;=5,"Validé","Non Validé")</f>
        <v>Validé</v>
      </c>
    </row>
    <row r="33" spans="1:20" ht="20.25">
      <c r="A33" s="15">
        <v>32</v>
      </c>
      <c r="B33" s="15" t="s">
        <v>47</v>
      </c>
      <c r="C33" s="15" t="s">
        <v>20</v>
      </c>
      <c r="D33" s="18">
        <v>8</v>
      </c>
      <c r="E33" s="18">
        <v>2</v>
      </c>
      <c r="F33" s="16">
        <v>7</v>
      </c>
      <c r="G33" s="16">
        <v>8</v>
      </c>
      <c r="H33" s="16">
        <v>8</v>
      </c>
      <c r="I33" s="16">
        <v>4</v>
      </c>
      <c r="J33" s="16">
        <v>6</v>
      </c>
      <c r="K33" s="16">
        <v>9</v>
      </c>
      <c r="L33" s="16">
        <v>8</v>
      </c>
      <c r="M33" s="16">
        <v>8</v>
      </c>
      <c r="N33" s="16">
        <v>6</v>
      </c>
      <c r="O33" s="16">
        <v>10</v>
      </c>
      <c r="P33" s="16">
        <v>7</v>
      </c>
      <c r="Q33" s="16">
        <f>IF(COUNTA(F33:P33)=0,"",SUM(F33:P33))</f>
        <v>81</v>
      </c>
      <c r="R33" s="17">
        <f>IF(Q33="","",Q33/11)</f>
        <v>7.3636363636363633</v>
      </c>
      <c r="S33" s="15">
        <f>IF(R33="","",1+COUNTIF($R$2:$R$116,"&gt;"&amp;R33))</f>
        <v>65</v>
      </c>
      <c r="T33" s="15" t="str">
        <f>IF(Table_1er_trimestre_H[[#This Row],[Moyenne]]&gt;=5,"Validé","Non Validé")</f>
        <v>Validé</v>
      </c>
    </row>
    <row r="34" spans="1:20" ht="20.25">
      <c r="A34" s="8">
        <v>33</v>
      </c>
      <c r="B34" s="8" t="s">
        <v>114</v>
      </c>
      <c r="C34" s="8" t="s">
        <v>18</v>
      </c>
      <c r="D34" s="7">
        <v>8</v>
      </c>
      <c r="E34" s="7">
        <v>2</v>
      </c>
      <c r="F34" s="13">
        <v>6</v>
      </c>
      <c r="G34" s="13">
        <v>5</v>
      </c>
      <c r="H34" s="13">
        <v>6</v>
      </c>
      <c r="I34" s="13">
        <v>8</v>
      </c>
      <c r="J34" s="13">
        <v>7</v>
      </c>
      <c r="K34" s="13">
        <v>8</v>
      </c>
      <c r="L34" s="13">
        <v>8</v>
      </c>
      <c r="M34" s="13">
        <v>7</v>
      </c>
      <c r="N34" s="13">
        <v>8</v>
      </c>
      <c r="O34" s="13">
        <v>5</v>
      </c>
      <c r="P34" s="13">
        <v>5</v>
      </c>
      <c r="Q34" s="13">
        <f>IF(COUNTA(F34:P34)=0,"",SUM(F34:P34))</f>
        <v>73</v>
      </c>
      <c r="R34" s="14">
        <f>IF(Q34="","",Q34/11)</f>
        <v>6.6363636363636367</v>
      </c>
      <c r="S34" s="8">
        <f>IF(R34="","",1+COUNTIF($R$2:$R$116,"&gt;"&amp;R34))</f>
        <v>90</v>
      </c>
      <c r="T34" s="8" t="str">
        <f>IF(Table_1er_trimestre_H[[#This Row],[Moyenne]]&gt;=5,"Validé","Non Validé")</f>
        <v>Validé</v>
      </c>
    </row>
    <row r="35" spans="1:20" s="3" customFormat="1" ht="20.25">
      <c r="A35" s="15">
        <v>34</v>
      </c>
      <c r="B35" s="15" t="s">
        <v>48</v>
      </c>
      <c r="C35" s="15" t="s">
        <v>20</v>
      </c>
      <c r="D35" s="18">
        <v>8</v>
      </c>
      <c r="E35" s="18">
        <v>2</v>
      </c>
      <c r="F35" s="16">
        <v>7</v>
      </c>
      <c r="G35" s="16">
        <v>0</v>
      </c>
      <c r="H35" s="16">
        <v>9</v>
      </c>
      <c r="I35" s="16">
        <v>6</v>
      </c>
      <c r="J35" s="16">
        <v>7</v>
      </c>
      <c r="K35" s="16">
        <v>10</v>
      </c>
      <c r="L35" s="16">
        <v>2</v>
      </c>
      <c r="M35" s="16">
        <v>10</v>
      </c>
      <c r="N35" s="16">
        <v>8</v>
      </c>
      <c r="O35" s="16">
        <v>10</v>
      </c>
      <c r="P35" s="16">
        <v>6</v>
      </c>
      <c r="Q35" s="16">
        <f>IF(COUNTA(F35:P35)=0,"",SUM(F35:P35))</f>
        <v>75</v>
      </c>
      <c r="R35" s="17">
        <f>IF(Q35="","",Q35/11)</f>
        <v>6.8181818181818183</v>
      </c>
      <c r="S35" s="15">
        <f>IF(R35="","",1+COUNTIF($R$2:$R$116,"&gt;"&amp;R35))</f>
        <v>84</v>
      </c>
      <c r="T35" s="15" t="str">
        <f>IF(Table_1er_trimestre_H[[#This Row],[Moyenne]]&gt;=5,"Validé","Non Validé")</f>
        <v>Validé</v>
      </c>
    </row>
    <row r="36" spans="1:20" ht="20.25">
      <c r="A36" s="15">
        <v>35</v>
      </c>
      <c r="B36" s="15" t="s">
        <v>49</v>
      </c>
      <c r="C36" s="15" t="s">
        <v>20</v>
      </c>
      <c r="D36" s="18">
        <v>8</v>
      </c>
      <c r="E36" s="18">
        <v>2</v>
      </c>
      <c r="F36" s="16">
        <v>9</v>
      </c>
      <c r="G36" s="16">
        <v>10</v>
      </c>
      <c r="H36" s="16">
        <v>9</v>
      </c>
      <c r="I36" s="16">
        <v>10</v>
      </c>
      <c r="J36" s="16">
        <v>9</v>
      </c>
      <c r="K36" s="16">
        <v>9</v>
      </c>
      <c r="L36" s="16">
        <v>0</v>
      </c>
      <c r="M36" s="16">
        <v>6</v>
      </c>
      <c r="N36" s="16">
        <v>9</v>
      </c>
      <c r="O36" s="16">
        <v>10</v>
      </c>
      <c r="P36" s="16">
        <v>10</v>
      </c>
      <c r="Q36" s="16">
        <f>IF(COUNTA(F36:P36)=0,"",SUM(F36:P36))</f>
        <v>91</v>
      </c>
      <c r="R36" s="17">
        <f>IF(Q36="","",Q36/11)</f>
        <v>8.2727272727272734</v>
      </c>
      <c r="S36" s="15">
        <f>IF(R36="","",1+COUNTIF($R$2:$R$116,"&gt;"&amp;R36))</f>
        <v>40</v>
      </c>
      <c r="T36" s="15" t="str">
        <f>IF(Table_1er_trimestre_H[[#This Row],[Moyenne]]&gt;=5,"Validé","Non Validé")</f>
        <v>Validé</v>
      </c>
    </row>
    <row r="37" spans="1:20" ht="20.25">
      <c r="A37" s="15">
        <v>36</v>
      </c>
      <c r="B37" s="15" t="s">
        <v>115</v>
      </c>
      <c r="C37" s="15" t="s">
        <v>20</v>
      </c>
      <c r="D37" s="18">
        <v>8</v>
      </c>
      <c r="E37" s="18">
        <v>2</v>
      </c>
      <c r="F37" s="16">
        <v>8</v>
      </c>
      <c r="G37" s="16">
        <v>8</v>
      </c>
      <c r="H37" s="16">
        <v>9</v>
      </c>
      <c r="I37" s="16">
        <v>9</v>
      </c>
      <c r="J37" s="16">
        <v>8</v>
      </c>
      <c r="K37" s="16">
        <v>10</v>
      </c>
      <c r="L37" s="16">
        <v>8</v>
      </c>
      <c r="M37" s="16">
        <v>8</v>
      </c>
      <c r="N37" s="16">
        <v>10</v>
      </c>
      <c r="O37" s="16">
        <v>5</v>
      </c>
      <c r="P37" s="16">
        <v>5</v>
      </c>
      <c r="Q37" s="16">
        <f>IF(COUNTA(F37:P37)=0,"",SUM(F37:P37))</f>
        <v>88</v>
      </c>
      <c r="R37" s="17">
        <f>IF(Q37="","",Q37/11)</f>
        <v>8</v>
      </c>
      <c r="S37" s="15">
        <f>IF(R37="","",1+COUNTIF($R$2:$R$116,"&gt;"&amp;R37))</f>
        <v>48</v>
      </c>
      <c r="T37" s="15" t="str">
        <f>IF(Table_1er_trimestre_H[[#This Row],[Moyenne]]&gt;=5,"Validé","Non Validé")</f>
        <v>Validé</v>
      </c>
    </row>
    <row r="38" spans="1:20" ht="40.5">
      <c r="A38" s="15">
        <v>37</v>
      </c>
      <c r="B38" s="15" t="s">
        <v>116</v>
      </c>
      <c r="C38" s="15" t="s">
        <v>20</v>
      </c>
      <c r="D38" s="18">
        <v>8</v>
      </c>
      <c r="E38" s="18">
        <v>2</v>
      </c>
      <c r="F38" s="16">
        <v>3</v>
      </c>
      <c r="G38" s="16">
        <v>9</v>
      </c>
      <c r="H38" s="16">
        <v>8</v>
      </c>
      <c r="I38" s="16">
        <v>1</v>
      </c>
      <c r="J38" s="16">
        <v>4</v>
      </c>
      <c r="K38" s="16">
        <v>4</v>
      </c>
      <c r="L38" s="16">
        <v>1</v>
      </c>
      <c r="M38" s="16">
        <v>5</v>
      </c>
      <c r="N38" s="16">
        <v>0</v>
      </c>
      <c r="O38" s="16">
        <v>7</v>
      </c>
      <c r="P38" s="16">
        <v>4</v>
      </c>
      <c r="Q38" s="16">
        <f>IF(COUNTA(F38:P38)=0,"",SUM(F38:P38))</f>
        <v>46</v>
      </c>
      <c r="R38" s="17">
        <f>IF(Q38="","",Q38/11)</f>
        <v>4.1818181818181817</v>
      </c>
      <c r="S38" s="15">
        <f>IF(R38="","",1+COUNTIF($R$2:$R$116,"&gt;"&amp;R38))</f>
        <v>115</v>
      </c>
      <c r="T38" s="15" t="str">
        <f>IF(Table_1er_trimestre_H[[#This Row],[Moyenne]]&gt;=5,"Validé","Non Validé")</f>
        <v>Non Validé</v>
      </c>
    </row>
    <row r="39" spans="1:20" s="3" customFormat="1" ht="20.25">
      <c r="A39" s="8">
        <v>38</v>
      </c>
      <c r="B39" s="8" t="s">
        <v>50</v>
      </c>
      <c r="C39" s="8" t="s">
        <v>18</v>
      </c>
      <c r="D39" s="7">
        <v>8</v>
      </c>
      <c r="E39" s="7">
        <v>2</v>
      </c>
      <c r="F39" s="13">
        <v>8</v>
      </c>
      <c r="G39" s="13">
        <v>8</v>
      </c>
      <c r="H39" s="13">
        <v>8</v>
      </c>
      <c r="I39" s="13">
        <v>7</v>
      </c>
      <c r="J39" s="13">
        <v>8</v>
      </c>
      <c r="K39" s="13">
        <v>10</v>
      </c>
      <c r="L39" s="13">
        <v>1</v>
      </c>
      <c r="M39" s="13">
        <v>8</v>
      </c>
      <c r="N39" s="13">
        <v>5</v>
      </c>
      <c r="O39" s="13">
        <v>10</v>
      </c>
      <c r="P39" s="13">
        <v>7</v>
      </c>
      <c r="Q39" s="13">
        <f>IF(COUNTA(F39:P39)=0,"",SUM(F39:P39))</f>
        <v>80</v>
      </c>
      <c r="R39" s="14">
        <f>IF(Q39="","",Q39/11)</f>
        <v>7.2727272727272725</v>
      </c>
      <c r="S39" s="8">
        <f>IF(R39="","",1+COUNTIF($R$2:$R$116,"&gt;"&amp;R39))</f>
        <v>68</v>
      </c>
      <c r="T39" s="8" t="str">
        <f>IF(Table_1er_trimestre_H[[#This Row],[Moyenne]]&gt;=5,"Validé","Non Validé")</f>
        <v>Validé</v>
      </c>
    </row>
    <row r="40" spans="1:20" s="3" customFormat="1" ht="20.25">
      <c r="A40" s="8">
        <v>39</v>
      </c>
      <c r="B40" s="8" t="s">
        <v>51</v>
      </c>
      <c r="C40" s="8" t="s">
        <v>18</v>
      </c>
      <c r="D40" s="7">
        <v>8</v>
      </c>
      <c r="E40" s="7">
        <v>2</v>
      </c>
      <c r="F40" s="13">
        <v>9</v>
      </c>
      <c r="G40" s="13">
        <v>10</v>
      </c>
      <c r="H40" s="13">
        <v>8</v>
      </c>
      <c r="I40" s="13">
        <v>6</v>
      </c>
      <c r="J40" s="13">
        <v>8</v>
      </c>
      <c r="K40" s="13">
        <v>9</v>
      </c>
      <c r="L40" s="13">
        <v>0</v>
      </c>
      <c r="M40" s="13">
        <v>7</v>
      </c>
      <c r="N40" s="13">
        <v>9</v>
      </c>
      <c r="O40" s="13">
        <v>10</v>
      </c>
      <c r="P40" s="13">
        <v>6</v>
      </c>
      <c r="Q40" s="13">
        <f>IF(COUNTA(F40:P40)=0,"",SUM(F40:P40))</f>
        <v>82</v>
      </c>
      <c r="R40" s="14">
        <f>IF(Q40="","",Q40/11)</f>
        <v>7.4545454545454541</v>
      </c>
      <c r="S40" s="8">
        <f>IF(R40="","",1+COUNTIF($R$2:$R$116,"&gt;"&amp;R40))</f>
        <v>61</v>
      </c>
      <c r="T40" s="8" t="str">
        <f>IF(Table_1er_trimestre_H[[#This Row],[Moyenne]]&gt;=5,"Validé","Non Validé")</f>
        <v>Validé</v>
      </c>
    </row>
    <row r="41" spans="1:20" s="3" customFormat="1" ht="20.25">
      <c r="A41" s="8">
        <v>40</v>
      </c>
      <c r="B41" s="8" t="s">
        <v>117</v>
      </c>
      <c r="C41" s="8" t="s">
        <v>18</v>
      </c>
      <c r="D41" s="7">
        <v>8</v>
      </c>
      <c r="E41" s="7">
        <v>2</v>
      </c>
      <c r="F41" s="13">
        <v>5</v>
      </c>
      <c r="G41" s="13">
        <v>5</v>
      </c>
      <c r="H41" s="13">
        <v>6</v>
      </c>
      <c r="I41" s="13">
        <v>6</v>
      </c>
      <c r="J41" s="13">
        <v>8</v>
      </c>
      <c r="K41" s="13">
        <v>10</v>
      </c>
      <c r="L41" s="13">
        <v>2</v>
      </c>
      <c r="M41" s="13">
        <v>7</v>
      </c>
      <c r="N41" s="13">
        <v>6</v>
      </c>
      <c r="O41" s="13">
        <v>5</v>
      </c>
      <c r="P41" s="13">
        <v>5</v>
      </c>
      <c r="Q41" s="13">
        <f>IF(COUNTA(F41:P41)=0,"",SUM(F41:P41))</f>
        <v>65</v>
      </c>
      <c r="R41" s="14">
        <f>IF(Q41="","",Q41/11)</f>
        <v>5.9090909090909092</v>
      </c>
      <c r="S41" s="8">
        <f>IF(R41="","",1+COUNTIF($R$2:$R$116,"&gt;"&amp;R41))</f>
        <v>101</v>
      </c>
      <c r="T41" s="8" t="str">
        <f>IF(Table_1er_trimestre_H[[#This Row],[Moyenne]]&gt;=5,"Validé","Non Validé")</f>
        <v>Validé</v>
      </c>
    </row>
    <row r="42" spans="1:20" s="3" customFormat="1" ht="20.25">
      <c r="A42" s="15">
        <v>41</v>
      </c>
      <c r="B42" s="15" t="s">
        <v>53</v>
      </c>
      <c r="C42" s="15" t="s">
        <v>20</v>
      </c>
      <c r="D42" s="18">
        <v>8</v>
      </c>
      <c r="E42" s="18">
        <v>2</v>
      </c>
      <c r="F42" s="16">
        <v>10</v>
      </c>
      <c r="G42" s="16">
        <v>10</v>
      </c>
      <c r="H42" s="16">
        <v>10</v>
      </c>
      <c r="I42" s="16">
        <v>10</v>
      </c>
      <c r="J42" s="16">
        <v>9</v>
      </c>
      <c r="K42" s="16">
        <v>10</v>
      </c>
      <c r="L42" s="16">
        <v>10</v>
      </c>
      <c r="M42" s="16">
        <v>8</v>
      </c>
      <c r="N42" s="16">
        <v>10</v>
      </c>
      <c r="O42" s="16">
        <v>10</v>
      </c>
      <c r="P42" s="16">
        <v>10</v>
      </c>
      <c r="Q42" s="16">
        <f>IF(COUNTA(F42:P42)=0,"",SUM(F42:P42))</f>
        <v>107</v>
      </c>
      <c r="R42" s="17">
        <f>IF(Q42="","",Q42/11)</f>
        <v>9.7272727272727266</v>
      </c>
      <c r="S42" s="15">
        <f>IF(R42="","",1+COUNTIF($R$2:$R$116,"&gt;"&amp;R42))</f>
        <v>2</v>
      </c>
      <c r="T42" s="15" t="str">
        <f>IF(Table_1er_trimestre_H[[#This Row],[Moyenne]]&gt;=5,"Validé","Non Validé")</f>
        <v>Validé</v>
      </c>
    </row>
    <row r="43" spans="1:20" s="3" customFormat="1" ht="20.25">
      <c r="A43" s="15">
        <v>42</v>
      </c>
      <c r="B43" s="15" t="s">
        <v>52</v>
      </c>
      <c r="C43" s="15" t="s">
        <v>20</v>
      </c>
      <c r="D43" s="18">
        <v>8</v>
      </c>
      <c r="E43" s="18">
        <v>2</v>
      </c>
      <c r="F43" s="16">
        <v>10</v>
      </c>
      <c r="G43" s="16">
        <v>10</v>
      </c>
      <c r="H43" s="16">
        <v>9</v>
      </c>
      <c r="I43" s="16">
        <v>10</v>
      </c>
      <c r="J43" s="16">
        <v>8</v>
      </c>
      <c r="K43" s="16">
        <v>9</v>
      </c>
      <c r="L43" s="16">
        <v>8</v>
      </c>
      <c r="M43" s="16">
        <v>9</v>
      </c>
      <c r="N43" s="16">
        <v>10</v>
      </c>
      <c r="O43" s="16">
        <v>10</v>
      </c>
      <c r="P43" s="16">
        <v>10</v>
      </c>
      <c r="Q43" s="16">
        <f>IF(COUNTA(F43:P43)=0,"",SUM(F43:P43))</f>
        <v>103</v>
      </c>
      <c r="R43" s="17">
        <f>IF(Q43="","",Q43/11)</f>
        <v>9.3636363636363633</v>
      </c>
      <c r="S43" s="15">
        <f>IF(R43="","",1+COUNTIF($R$2:$R$116,"&gt;"&amp;R43))</f>
        <v>14</v>
      </c>
      <c r="T43" s="15" t="str">
        <f>IF(Table_1er_trimestre_H[[#This Row],[Moyenne]]&gt;=5,"Validé","Non Validé")</f>
        <v>Validé</v>
      </c>
    </row>
    <row r="44" spans="1:20" s="3" customFormat="1" ht="20.25">
      <c r="A44" s="15">
        <v>43</v>
      </c>
      <c r="B44" s="15" t="s">
        <v>54</v>
      </c>
      <c r="C44" s="15" t="s">
        <v>20</v>
      </c>
      <c r="D44" s="18">
        <v>8</v>
      </c>
      <c r="E44" s="18">
        <v>2</v>
      </c>
      <c r="F44" s="16">
        <v>8</v>
      </c>
      <c r="G44" s="16">
        <v>10</v>
      </c>
      <c r="H44" s="16">
        <v>10</v>
      </c>
      <c r="I44" s="16">
        <v>10</v>
      </c>
      <c r="J44" s="16">
        <v>8</v>
      </c>
      <c r="K44" s="16">
        <v>9</v>
      </c>
      <c r="L44" s="16">
        <v>4</v>
      </c>
      <c r="M44" s="16">
        <v>8</v>
      </c>
      <c r="N44" s="16">
        <v>7</v>
      </c>
      <c r="O44" s="16">
        <v>10</v>
      </c>
      <c r="P44" s="16">
        <v>6</v>
      </c>
      <c r="Q44" s="16">
        <f>IF(COUNTA(F44:P44)=0,"",SUM(F44:P44))</f>
        <v>90</v>
      </c>
      <c r="R44" s="17">
        <f>IF(Q44="","",Q44/11)</f>
        <v>8.1818181818181817</v>
      </c>
      <c r="S44" s="15">
        <f>IF(R44="","",1+COUNTIF($R$2:$R$116,"&gt;"&amp;R44))</f>
        <v>43</v>
      </c>
      <c r="T44" s="15" t="str">
        <f>IF(Table_1er_trimestre_H[[#This Row],[Moyenne]]&gt;=5,"Validé","Non Validé")</f>
        <v>Validé</v>
      </c>
    </row>
    <row r="45" spans="1:20" s="3" customFormat="1" ht="20.25">
      <c r="A45" s="15">
        <v>44</v>
      </c>
      <c r="B45" s="15" t="s">
        <v>55</v>
      </c>
      <c r="C45" s="15" t="s">
        <v>20</v>
      </c>
      <c r="D45" s="18">
        <v>8</v>
      </c>
      <c r="E45" s="18">
        <v>2</v>
      </c>
      <c r="F45" s="16">
        <v>8</v>
      </c>
      <c r="G45" s="16">
        <v>10</v>
      </c>
      <c r="H45" s="16">
        <v>8</v>
      </c>
      <c r="I45" s="16">
        <v>9</v>
      </c>
      <c r="J45" s="16">
        <v>6</v>
      </c>
      <c r="K45" s="16">
        <v>8</v>
      </c>
      <c r="L45" s="16">
        <v>6</v>
      </c>
      <c r="M45" s="16">
        <v>9</v>
      </c>
      <c r="N45" s="16">
        <v>8</v>
      </c>
      <c r="O45" s="16">
        <v>10</v>
      </c>
      <c r="P45" s="16">
        <v>9</v>
      </c>
      <c r="Q45" s="16">
        <f>IF(COUNTA(F45:P45)=0,"",SUM(F45:P45))</f>
        <v>91</v>
      </c>
      <c r="R45" s="17">
        <f>IF(Q45="","",Q45/11)</f>
        <v>8.2727272727272734</v>
      </c>
      <c r="S45" s="15">
        <f>IF(R45="","",1+COUNTIF($R$2:$R$116,"&gt;"&amp;R45))</f>
        <v>40</v>
      </c>
      <c r="T45" s="15" t="str">
        <f>IF(Table_1er_trimestre_H[[#This Row],[Moyenne]]&gt;=5,"Validé","Non Validé")</f>
        <v>Validé</v>
      </c>
    </row>
    <row r="46" spans="1:20" ht="20.25">
      <c r="A46" s="15">
        <v>45</v>
      </c>
      <c r="B46" s="15" t="s">
        <v>56</v>
      </c>
      <c r="C46" s="15" t="s">
        <v>20</v>
      </c>
      <c r="D46" s="18">
        <v>9</v>
      </c>
      <c r="E46" s="18">
        <v>2</v>
      </c>
      <c r="F46" s="16">
        <v>10</v>
      </c>
      <c r="G46" s="16">
        <v>10</v>
      </c>
      <c r="H46" s="16">
        <v>10</v>
      </c>
      <c r="I46" s="16">
        <v>10</v>
      </c>
      <c r="J46" s="16">
        <v>9</v>
      </c>
      <c r="K46" s="16">
        <v>9</v>
      </c>
      <c r="L46" s="16">
        <v>9</v>
      </c>
      <c r="M46" s="16">
        <v>10</v>
      </c>
      <c r="N46" s="16">
        <v>9</v>
      </c>
      <c r="O46" s="16">
        <v>10</v>
      </c>
      <c r="P46" s="16">
        <v>10</v>
      </c>
      <c r="Q46" s="16">
        <f>IF(COUNTA(F46:P46)=0,"",SUM(F46:P46))</f>
        <v>106</v>
      </c>
      <c r="R46" s="17">
        <f>IF(Q46="","",Q46/11)</f>
        <v>9.6363636363636367</v>
      </c>
      <c r="S46" s="15">
        <f>IF(R46="","",1+COUNTIF($R$2:$R$116,"&gt;"&amp;R46))</f>
        <v>6</v>
      </c>
      <c r="T46" s="15" t="str">
        <f>IF(Table_1er_trimestre_H[[#This Row],[Moyenne]]&gt;=5,"Validé","Non Validé")</f>
        <v>Validé</v>
      </c>
    </row>
    <row r="47" spans="1:20" s="3" customFormat="1" ht="20.25">
      <c r="A47" s="15">
        <v>46</v>
      </c>
      <c r="B47" s="15" t="s">
        <v>118</v>
      </c>
      <c r="C47" s="15" t="s">
        <v>20</v>
      </c>
      <c r="D47" s="18">
        <v>7</v>
      </c>
      <c r="E47" s="18">
        <v>2</v>
      </c>
      <c r="F47" s="16">
        <v>7</v>
      </c>
      <c r="G47" s="16">
        <v>8</v>
      </c>
      <c r="H47" s="16">
        <v>8</v>
      </c>
      <c r="I47" s="16">
        <v>8</v>
      </c>
      <c r="J47" s="16">
        <v>6</v>
      </c>
      <c r="K47" s="16">
        <v>8</v>
      </c>
      <c r="L47" s="16">
        <v>6</v>
      </c>
      <c r="M47" s="16">
        <v>8</v>
      </c>
      <c r="N47" s="16">
        <v>8</v>
      </c>
      <c r="O47" s="16">
        <v>6</v>
      </c>
      <c r="P47" s="16">
        <v>6</v>
      </c>
      <c r="Q47" s="16">
        <f>IF(COUNTA(F47:P47)=0,"",SUM(F47:P47))</f>
        <v>79</v>
      </c>
      <c r="R47" s="17">
        <f>IF(Q47="","",Q47/11)</f>
        <v>7.1818181818181817</v>
      </c>
      <c r="S47" s="15">
        <f>IF(R47="","",1+COUNTIF($R$2:$R$116,"&gt;"&amp;R47))</f>
        <v>70</v>
      </c>
      <c r="T47" s="15" t="str">
        <f>IF(Table_1er_trimestre_H[[#This Row],[Moyenne]]&gt;=5,"Validé","Non Validé")</f>
        <v>Validé</v>
      </c>
    </row>
    <row r="48" spans="1:20" s="3" customFormat="1" ht="20.25">
      <c r="A48" s="15">
        <v>47</v>
      </c>
      <c r="B48" s="15" t="s">
        <v>57</v>
      </c>
      <c r="C48" s="15" t="s">
        <v>20</v>
      </c>
      <c r="D48" s="18">
        <v>8</v>
      </c>
      <c r="E48" s="18">
        <v>2</v>
      </c>
      <c r="F48" s="16">
        <v>10</v>
      </c>
      <c r="G48" s="16">
        <v>8</v>
      </c>
      <c r="H48" s="16">
        <v>8</v>
      </c>
      <c r="I48" s="16">
        <v>10</v>
      </c>
      <c r="J48" s="16">
        <v>8</v>
      </c>
      <c r="K48" s="16">
        <v>9</v>
      </c>
      <c r="L48" s="16">
        <v>9</v>
      </c>
      <c r="M48" s="16">
        <v>8</v>
      </c>
      <c r="N48" s="16">
        <v>9</v>
      </c>
      <c r="O48" s="16">
        <v>10</v>
      </c>
      <c r="P48" s="16">
        <v>10</v>
      </c>
      <c r="Q48" s="16">
        <f>IF(COUNTA(F48:P48)=0,"",SUM(F48:P48))</f>
        <v>99</v>
      </c>
      <c r="R48" s="17">
        <f>IF(Q48="","",Q48/11)</f>
        <v>9</v>
      </c>
      <c r="S48" s="15">
        <f>IF(R48="","",1+COUNTIF($R$2:$R$116,"&gt;"&amp;R48))</f>
        <v>20</v>
      </c>
      <c r="T48" s="15" t="str">
        <f>IF(Table_1er_trimestre_H[[#This Row],[Moyenne]]&gt;=5,"Validé","Non Validé")</f>
        <v>Validé</v>
      </c>
    </row>
    <row r="49" spans="1:20" ht="20.25">
      <c r="A49" s="15">
        <v>48</v>
      </c>
      <c r="B49" s="15" t="s">
        <v>58</v>
      </c>
      <c r="C49" s="15" t="s">
        <v>20</v>
      </c>
      <c r="D49" s="18">
        <v>8</v>
      </c>
      <c r="E49" s="18">
        <v>2</v>
      </c>
      <c r="F49" s="16">
        <v>10</v>
      </c>
      <c r="G49" s="16">
        <v>10</v>
      </c>
      <c r="H49" s="16">
        <v>8</v>
      </c>
      <c r="I49" s="16">
        <v>10</v>
      </c>
      <c r="J49" s="16">
        <v>8</v>
      </c>
      <c r="K49" s="16">
        <v>9</v>
      </c>
      <c r="L49" s="16">
        <v>6</v>
      </c>
      <c r="M49" s="16">
        <v>8</v>
      </c>
      <c r="N49" s="16">
        <v>9</v>
      </c>
      <c r="O49" s="16">
        <v>10</v>
      </c>
      <c r="P49" s="16">
        <v>10</v>
      </c>
      <c r="Q49" s="16">
        <f>IF(COUNTA(F49:P49)=0,"",SUM(F49:P49))</f>
        <v>98</v>
      </c>
      <c r="R49" s="17">
        <f>IF(Q49="","",Q49/11)</f>
        <v>8.9090909090909083</v>
      </c>
      <c r="S49" s="15">
        <f>IF(R49="","",1+COUNTIF($R$2:$R$116,"&gt;"&amp;R49))</f>
        <v>23</v>
      </c>
      <c r="T49" s="15" t="str">
        <f>IF(Table_1er_trimestre_H[[#This Row],[Moyenne]]&gt;=5,"Validé","Non Validé")</f>
        <v>Validé</v>
      </c>
    </row>
    <row r="50" spans="1:20" s="3" customFormat="1" ht="20.25">
      <c r="A50" s="8">
        <v>60</v>
      </c>
      <c r="B50" s="8" t="s">
        <v>59</v>
      </c>
      <c r="C50" s="8" t="s">
        <v>18</v>
      </c>
      <c r="D50" s="7">
        <v>8</v>
      </c>
      <c r="E50" s="7">
        <v>2</v>
      </c>
      <c r="F50" s="13">
        <v>10</v>
      </c>
      <c r="G50" s="13">
        <v>10</v>
      </c>
      <c r="H50" s="13">
        <v>8</v>
      </c>
      <c r="I50" s="13">
        <v>3</v>
      </c>
      <c r="J50" s="13">
        <v>8</v>
      </c>
      <c r="K50" s="13">
        <v>9</v>
      </c>
      <c r="L50" s="13">
        <v>0</v>
      </c>
      <c r="M50" s="13">
        <v>9</v>
      </c>
      <c r="N50" s="13">
        <v>9</v>
      </c>
      <c r="O50" s="13">
        <v>10</v>
      </c>
      <c r="P50" s="13">
        <v>8</v>
      </c>
      <c r="Q50" s="13">
        <f>IF(COUNTA(F50:P50)=0,"",SUM(F50:P50))</f>
        <v>84</v>
      </c>
      <c r="R50" s="14">
        <f>IF(Q50="","",Q50/11)</f>
        <v>7.6363636363636367</v>
      </c>
      <c r="S50" s="8">
        <f>IF(R50="","",1+COUNTIF($R$2:$R$116,"&gt;"&amp;R50))</f>
        <v>55</v>
      </c>
      <c r="T50" s="8" t="str">
        <f>IF(Table_1er_trimestre_H[[#This Row],[Moyenne]]&gt;=5,"Validé","Non Validé")</f>
        <v>Validé</v>
      </c>
    </row>
    <row r="51" spans="1:20" ht="20.25">
      <c r="A51" s="15">
        <v>58</v>
      </c>
      <c r="B51" s="15" t="s">
        <v>119</v>
      </c>
      <c r="C51" s="15" t="s">
        <v>20</v>
      </c>
      <c r="D51" s="18">
        <v>8</v>
      </c>
      <c r="E51" s="18">
        <v>2</v>
      </c>
      <c r="F51" s="16">
        <v>10</v>
      </c>
      <c r="G51" s="16">
        <v>10</v>
      </c>
      <c r="H51" s="16">
        <v>10</v>
      </c>
      <c r="I51" s="16">
        <v>10</v>
      </c>
      <c r="J51" s="16">
        <v>9</v>
      </c>
      <c r="K51" s="16">
        <v>10</v>
      </c>
      <c r="L51" s="16">
        <v>10</v>
      </c>
      <c r="M51" s="16">
        <v>8</v>
      </c>
      <c r="N51" s="16">
        <v>10</v>
      </c>
      <c r="O51" s="16">
        <v>9</v>
      </c>
      <c r="P51" s="16">
        <v>9</v>
      </c>
      <c r="Q51" s="16">
        <f>IF(COUNTA(F51:P51)=0,"",SUM(F51:P51))</f>
        <v>105</v>
      </c>
      <c r="R51" s="17">
        <f>IF(Q51="","",Q51/11)</f>
        <v>9.545454545454545</v>
      </c>
      <c r="S51" s="15">
        <f>IF(R51="","",1+COUNTIF($R$2:$R$116,"&gt;"&amp;R51))</f>
        <v>10</v>
      </c>
      <c r="T51" s="15" t="str">
        <f>IF(Table_1er_trimestre_H[[#This Row],[Moyenne]]&gt;=5,"Validé","Non Validé")</f>
        <v>Validé</v>
      </c>
    </row>
    <row r="52" spans="1:20" ht="20.25">
      <c r="A52" s="15">
        <v>59</v>
      </c>
      <c r="B52" s="15" t="s">
        <v>60</v>
      </c>
      <c r="C52" s="15" t="s">
        <v>20</v>
      </c>
      <c r="D52" s="18">
        <v>8</v>
      </c>
      <c r="E52" s="18">
        <v>2</v>
      </c>
      <c r="F52" s="16">
        <v>9</v>
      </c>
      <c r="G52" s="16">
        <v>8</v>
      </c>
      <c r="H52" s="16">
        <v>9</v>
      </c>
      <c r="I52" s="16">
        <v>4</v>
      </c>
      <c r="J52" s="16">
        <v>8</v>
      </c>
      <c r="K52" s="16">
        <v>8</v>
      </c>
      <c r="L52" s="16">
        <v>0</v>
      </c>
      <c r="M52" s="16">
        <v>9</v>
      </c>
      <c r="N52" s="16">
        <v>4</v>
      </c>
      <c r="O52" s="16">
        <v>10</v>
      </c>
      <c r="P52" s="16">
        <v>7</v>
      </c>
      <c r="Q52" s="16">
        <f>IF(COUNTA(F52:P52)=0,"",SUM(F52:P52))</f>
        <v>76</v>
      </c>
      <c r="R52" s="17">
        <f>IF(Q52="","",Q52/11)</f>
        <v>6.9090909090909092</v>
      </c>
      <c r="S52" s="15">
        <f>IF(R52="","",1+COUNTIF($R$2:$R$116,"&gt;"&amp;R52))</f>
        <v>81</v>
      </c>
      <c r="T52" s="15" t="str">
        <f>IF(Table_1er_trimestre_H[[#This Row],[Moyenne]]&gt;=5,"Validé","Non Validé")</f>
        <v>Validé</v>
      </c>
    </row>
    <row r="53" spans="1:20" s="3" customFormat="1" ht="20.25">
      <c r="A53" s="15">
        <v>49</v>
      </c>
      <c r="B53" s="15" t="s">
        <v>61</v>
      </c>
      <c r="C53" s="15" t="s">
        <v>20</v>
      </c>
      <c r="D53" s="18">
        <v>8</v>
      </c>
      <c r="E53" s="18">
        <v>2</v>
      </c>
      <c r="F53" s="16">
        <v>10</v>
      </c>
      <c r="G53" s="16">
        <v>10</v>
      </c>
      <c r="H53" s="16">
        <v>10</v>
      </c>
      <c r="I53" s="16">
        <v>10</v>
      </c>
      <c r="J53" s="16">
        <v>9</v>
      </c>
      <c r="K53" s="16">
        <v>10</v>
      </c>
      <c r="L53" s="16">
        <v>10</v>
      </c>
      <c r="M53" s="16">
        <v>8</v>
      </c>
      <c r="N53" s="16">
        <v>10</v>
      </c>
      <c r="O53" s="16">
        <v>8</v>
      </c>
      <c r="P53" s="16">
        <v>8</v>
      </c>
      <c r="Q53" s="16">
        <f>IF(COUNTA(F53:P53)=0,"",SUM(F53:P53))</f>
        <v>103</v>
      </c>
      <c r="R53" s="17">
        <f>IF(Q53="","",Q53/11)</f>
        <v>9.3636363636363633</v>
      </c>
      <c r="S53" s="15">
        <f>IF(R53="","",1+COUNTIF($R$2:$R$116,"&gt;"&amp;R53))</f>
        <v>14</v>
      </c>
      <c r="T53" s="15" t="str">
        <f>IF(Table_1er_trimestre_H[[#This Row],[Moyenne]]&gt;=5,"Validé","Non Validé")</f>
        <v>Validé</v>
      </c>
    </row>
    <row r="54" spans="1:20" s="3" customFormat="1" ht="20.25">
      <c r="A54" s="8">
        <v>55</v>
      </c>
      <c r="B54" s="8" t="s">
        <v>120</v>
      </c>
      <c r="C54" s="8" t="s">
        <v>18</v>
      </c>
      <c r="D54" s="7">
        <v>8</v>
      </c>
      <c r="E54" s="7">
        <v>2</v>
      </c>
      <c r="F54" s="13">
        <v>9</v>
      </c>
      <c r="G54" s="13">
        <v>6</v>
      </c>
      <c r="H54" s="13">
        <v>8</v>
      </c>
      <c r="I54" s="13">
        <v>4</v>
      </c>
      <c r="J54" s="13">
        <v>6</v>
      </c>
      <c r="K54" s="13">
        <v>6</v>
      </c>
      <c r="L54" s="13">
        <v>0</v>
      </c>
      <c r="M54" s="13">
        <v>6</v>
      </c>
      <c r="N54" s="13">
        <v>2</v>
      </c>
      <c r="O54" s="13">
        <v>10</v>
      </c>
      <c r="P54" s="13">
        <v>4</v>
      </c>
      <c r="Q54" s="13">
        <f>IF(COUNTA(F54:P54)=0,"",SUM(F54:P54))</f>
        <v>61</v>
      </c>
      <c r="R54" s="14">
        <f>IF(Q54="","",Q54/11)</f>
        <v>5.5454545454545459</v>
      </c>
      <c r="S54" s="8">
        <f>IF(R54="","",1+COUNTIF($R$2:$R$116,"&gt;"&amp;R54))</f>
        <v>107</v>
      </c>
      <c r="T54" s="8" t="str">
        <f>IF(Table_1er_trimestre_H[[#This Row],[Moyenne]]&gt;=5,"Validé","Non Validé")</f>
        <v>Validé</v>
      </c>
    </row>
    <row r="55" spans="1:20" s="3" customFormat="1" ht="20.25">
      <c r="A55" s="15">
        <v>56</v>
      </c>
      <c r="B55" s="15" t="s">
        <v>121</v>
      </c>
      <c r="C55" s="15" t="s">
        <v>20</v>
      </c>
      <c r="D55" s="18">
        <v>8</v>
      </c>
      <c r="E55" s="18">
        <v>2</v>
      </c>
      <c r="F55" s="16">
        <v>8</v>
      </c>
      <c r="G55" s="16">
        <v>4</v>
      </c>
      <c r="H55" s="16">
        <v>8</v>
      </c>
      <c r="I55" s="16">
        <v>6</v>
      </c>
      <c r="J55" s="16">
        <v>4</v>
      </c>
      <c r="K55" s="16">
        <v>8</v>
      </c>
      <c r="L55" s="16">
        <v>0</v>
      </c>
      <c r="M55" s="16">
        <v>8</v>
      </c>
      <c r="N55" s="16">
        <v>5</v>
      </c>
      <c r="O55" s="16">
        <v>10</v>
      </c>
      <c r="P55" s="16">
        <v>8</v>
      </c>
      <c r="Q55" s="16">
        <f>IF(COUNTA(F55:P55)=0,"",SUM(F55:P55))</f>
        <v>69</v>
      </c>
      <c r="R55" s="17">
        <f>IF(Q55="","",Q55/11)</f>
        <v>6.2727272727272725</v>
      </c>
      <c r="S55" s="15">
        <f>IF(R55="","",1+COUNTIF($R$2:$R$116,"&gt;"&amp;R55))</f>
        <v>95</v>
      </c>
      <c r="T55" s="15" t="str">
        <f>IF(Table_1er_trimestre_H[[#This Row],[Moyenne]]&gt;=5,"Validé","Non Validé")</f>
        <v>Validé</v>
      </c>
    </row>
    <row r="56" spans="1:20" s="3" customFormat="1" ht="20.25">
      <c r="A56" s="4">
        <v>61</v>
      </c>
      <c r="B56" s="15" t="s">
        <v>62</v>
      </c>
      <c r="C56" s="15" t="s">
        <v>20</v>
      </c>
      <c r="D56" s="18">
        <v>8</v>
      </c>
      <c r="E56" s="18">
        <v>2</v>
      </c>
      <c r="F56" s="5">
        <v>10</v>
      </c>
      <c r="G56" s="5">
        <v>10</v>
      </c>
      <c r="H56" s="5">
        <v>9</v>
      </c>
      <c r="I56" s="5">
        <v>9</v>
      </c>
      <c r="J56" s="5">
        <v>8</v>
      </c>
      <c r="K56" s="5">
        <v>10</v>
      </c>
      <c r="L56" s="5">
        <v>10</v>
      </c>
      <c r="M56" s="5">
        <v>8</v>
      </c>
      <c r="N56" s="5">
        <v>9</v>
      </c>
      <c r="O56" s="5">
        <v>10</v>
      </c>
      <c r="P56" s="5">
        <v>9</v>
      </c>
      <c r="Q56" s="5">
        <f>IF(COUNTA(F56:P56)=0,"",SUM(F56:P56))</f>
        <v>102</v>
      </c>
      <c r="R56" s="6">
        <f>IF(Q56="","",Q56/11)</f>
        <v>9.2727272727272734</v>
      </c>
      <c r="S56" s="4">
        <f>IF(R56="","",1+COUNTIF($R$2:$R$116,"&gt;"&amp;R56))</f>
        <v>16</v>
      </c>
      <c r="T56" s="15" t="str">
        <f>IF(Table_1er_trimestre_H[[#This Row],[Moyenne]]&gt;=5,"Validé","Non Validé")</f>
        <v>Validé</v>
      </c>
    </row>
    <row r="57" spans="1:20" ht="20.25">
      <c r="A57" s="15">
        <v>57</v>
      </c>
      <c r="B57" s="15" t="s">
        <v>63</v>
      </c>
      <c r="C57" s="15" t="s">
        <v>20</v>
      </c>
      <c r="D57" s="18">
        <v>8</v>
      </c>
      <c r="E57" s="18">
        <v>2</v>
      </c>
      <c r="F57" s="16">
        <v>8</v>
      </c>
      <c r="G57" s="16">
        <v>8</v>
      </c>
      <c r="H57" s="16">
        <v>8</v>
      </c>
      <c r="I57" s="16">
        <v>10</v>
      </c>
      <c r="J57" s="16">
        <v>8</v>
      </c>
      <c r="K57" s="16">
        <v>10</v>
      </c>
      <c r="L57" s="16">
        <v>0</v>
      </c>
      <c r="M57" s="16">
        <v>8</v>
      </c>
      <c r="N57" s="16">
        <v>5</v>
      </c>
      <c r="O57" s="16">
        <v>10</v>
      </c>
      <c r="P57" s="16">
        <v>10</v>
      </c>
      <c r="Q57" s="16">
        <f>IF(COUNTA(F57:P57)=0,"",SUM(F57:P57))</f>
        <v>85</v>
      </c>
      <c r="R57" s="17">
        <f>IF(Q57="","",Q57/11)</f>
        <v>7.7272727272727275</v>
      </c>
      <c r="S57" s="15">
        <f>IF(R57="","",1+COUNTIF($R$2:$R$116,"&gt;"&amp;R57))</f>
        <v>53</v>
      </c>
      <c r="T57" s="15" t="str">
        <f>IF(Table_1er_trimestre_H[[#This Row],[Moyenne]]&gt;=5,"Validé","Non Validé")</f>
        <v>Validé</v>
      </c>
    </row>
    <row r="58" spans="1:20" s="3" customFormat="1" ht="20.25">
      <c r="A58" s="8">
        <v>52</v>
      </c>
      <c r="B58" s="8" t="s">
        <v>122</v>
      </c>
      <c r="C58" s="8" t="s">
        <v>18</v>
      </c>
      <c r="D58" s="7">
        <v>8</v>
      </c>
      <c r="E58" s="7">
        <v>2</v>
      </c>
      <c r="F58" s="13">
        <v>6</v>
      </c>
      <c r="G58" s="13">
        <v>9</v>
      </c>
      <c r="H58" s="13">
        <v>8</v>
      </c>
      <c r="I58" s="13">
        <v>6</v>
      </c>
      <c r="J58" s="13">
        <v>10</v>
      </c>
      <c r="K58" s="13">
        <v>10</v>
      </c>
      <c r="L58" s="13">
        <v>2</v>
      </c>
      <c r="M58" s="13">
        <v>6</v>
      </c>
      <c r="N58" s="13">
        <v>6</v>
      </c>
      <c r="O58" s="13">
        <v>7</v>
      </c>
      <c r="P58" s="13">
        <v>7</v>
      </c>
      <c r="Q58" s="13">
        <f>IF(COUNTA(F58:P58)=0,"",SUM(F58:P58))</f>
        <v>77</v>
      </c>
      <c r="R58" s="14">
        <f>IF(Q58="","",Q58/11)</f>
        <v>7</v>
      </c>
      <c r="S58" s="8">
        <f>IF(R58="","",1+COUNTIF($R$2:$R$116,"&gt;"&amp;R58))</f>
        <v>76</v>
      </c>
      <c r="T58" s="8" t="str">
        <f>IF(Table_1er_trimestre_H[[#This Row],[Moyenne]]&gt;=5,"Validé","Non Validé")</f>
        <v>Validé</v>
      </c>
    </row>
    <row r="59" spans="1:20" s="3" customFormat="1" ht="20.25">
      <c r="A59" s="8">
        <v>64</v>
      </c>
      <c r="B59" s="8" t="s">
        <v>64</v>
      </c>
      <c r="C59" s="8" t="s">
        <v>18</v>
      </c>
      <c r="D59" s="7">
        <v>8</v>
      </c>
      <c r="E59" s="7">
        <v>2</v>
      </c>
      <c r="F59" s="13">
        <v>10</v>
      </c>
      <c r="G59" s="13">
        <v>6</v>
      </c>
      <c r="H59" s="13">
        <v>8</v>
      </c>
      <c r="I59" s="13">
        <v>10</v>
      </c>
      <c r="J59" s="13">
        <v>6</v>
      </c>
      <c r="K59" s="13">
        <v>10</v>
      </c>
      <c r="L59" s="13">
        <v>0</v>
      </c>
      <c r="M59" s="13">
        <v>6</v>
      </c>
      <c r="N59" s="13">
        <v>6</v>
      </c>
      <c r="O59" s="13">
        <v>10</v>
      </c>
      <c r="P59" s="13">
        <v>8</v>
      </c>
      <c r="Q59" s="13">
        <f>IF(COUNTA(F59:P59)=0,"",SUM(F59:P59))</f>
        <v>80</v>
      </c>
      <c r="R59" s="14">
        <f>IF(Q59="","",Q59/11)</f>
        <v>7.2727272727272725</v>
      </c>
      <c r="S59" s="8">
        <f>IF(R59="","",1+COUNTIF($R$2:$R$116,"&gt;"&amp;R59))</f>
        <v>68</v>
      </c>
      <c r="T59" s="8" t="str">
        <f>IF(Table_1er_trimestre_H[[#This Row],[Moyenne]]&gt;=5,"Validé","Non Validé")</f>
        <v>Validé</v>
      </c>
    </row>
    <row r="60" spans="1:20" s="3" customFormat="1" ht="20.25">
      <c r="A60" s="8">
        <v>65</v>
      </c>
      <c r="B60" s="8" t="s">
        <v>65</v>
      </c>
      <c r="C60" s="8" t="s">
        <v>18</v>
      </c>
      <c r="D60" s="7">
        <v>8</v>
      </c>
      <c r="E60" s="7">
        <v>2</v>
      </c>
      <c r="F60" s="13">
        <v>10</v>
      </c>
      <c r="G60" s="13">
        <v>10</v>
      </c>
      <c r="H60" s="13">
        <v>9</v>
      </c>
      <c r="I60" s="13">
        <v>8</v>
      </c>
      <c r="J60" s="13">
        <v>9</v>
      </c>
      <c r="K60" s="13">
        <v>10</v>
      </c>
      <c r="L60" s="13">
        <v>0</v>
      </c>
      <c r="M60" s="13">
        <v>8</v>
      </c>
      <c r="N60" s="13">
        <v>6</v>
      </c>
      <c r="O60" s="13">
        <v>10</v>
      </c>
      <c r="P60" s="13">
        <v>6</v>
      </c>
      <c r="Q60" s="13">
        <f>IF(COUNTA(F60:P60)=0,"",SUM(F60:P60))</f>
        <v>86</v>
      </c>
      <c r="R60" s="14">
        <f>IF(Q60="","",Q60/11)</f>
        <v>7.8181818181818183</v>
      </c>
      <c r="S60" s="8">
        <f>IF(R60="","",1+COUNTIF($R$2:$R$116,"&gt;"&amp;R60))</f>
        <v>51</v>
      </c>
      <c r="T60" s="8" t="str">
        <f>IF(Table_1er_trimestre_H[[#This Row],[Moyenne]]&gt;=5,"Validé","Non Validé")</f>
        <v>Validé</v>
      </c>
    </row>
    <row r="61" spans="1:20" ht="20.25">
      <c r="A61" s="8">
        <v>66</v>
      </c>
      <c r="B61" s="8" t="s">
        <v>66</v>
      </c>
      <c r="C61" s="8" t="s">
        <v>18</v>
      </c>
      <c r="D61" s="7">
        <v>8</v>
      </c>
      <c r="E61" s="7">
        <v>2</v>
      </c>
      <c r="F61" s="13">
        <v>8</v>
      </c>
      <c r="G61" s="13">
        <v>10</v>
      </c>
      <c r="H61" s="13">
        <v>8</v>
      </c>
      <c r="I61" s="13">
        <v>8</v>
      </c>
      <c r="J61" s="13">
        <v>7</v>
      </c>
      <c r="K61" s="13">
        <v>10</v>
      </c>
      <c r="L61" s="13">
        <v>0</v>
      </c>
      <c r="M61" s="13">
        <v>6</v>
      </c>
      <c r="N61" s="13">
        <v>6</v>
      </c>
      <c r="O61" s="13">
        <v>10</v>
      </c>
      <c r="P61" s="13">
        <v>8</v>
      </c>
      <c r="Q61" s="13">
        <f>IF(COUNTA(F61:P61)=0,"",SUM(F61:P61))</f>
        <v>81</v>
      </c>
      <c r="R61" s="14">
        <f>IF(Q61="","",Q61/11)</f>
        <v>7.3636363636363633</v>
      </c>
      <c r="S61" s="8">
        <f>IF(R61="","",1+COUNTIF($R$2:$R$116,"&gt;"&amp;R61))</f>
        <v>65</v>
      </c>
      <c r="T61" s="8" t="str">
        <f>IF(Table_1er_trimestre_H[[#This Row],[Moyenne]]&gt;=5,"Validé","Non Validé")</f>
        <v>Validé</v>
      </c>
    </row>
    <row r="62" spans="1:20" ht="20.25">
      <c r="A62" s="8">
        <v>67</v>
      </c>
      <c r="B62" s="8" t="s">
        <v>67</v>
      </c>
      <c r="C62" s="8" t="s">
        <v>18</v>
      </c>
      <c r="D62" s="7">
        <v>8</v>
      </c>
      <c r="E62" s="7">
        <v>2</v>
      </c>
      <c r="F62" s="13">
        <v>10</v>
      </c>
      <c r="G62" s="13">
        <v>10</v>
      </c>
      <c r="H62" s="13">
        <v>9</v>
      </c>
      <c r="I62" s="13">
        <v>10</v>
      </c>
      <c r="J62" s="13">
        <v>9</v>
      </c>
      <c r="K62" s="13">
        <v>10</v>
      </c>
      <c r="L62" s="13">
        <v>8</v>
      </c>
      <c r="M62" s="13">
        <v>9</v>
      </c>
      <c r="N62" s="13">
        <v>9</v>
      </c>
      <c r="O62" s="13">
        <v>10</v>
      </c>
      <c r="P62" s="13">
        <v>10</v>
      </c>
      <c r="Q62" s="13">
        <f>IF(COUNTA(F62:P62)=0,"",SUM(F62:P62))</f>
        <v>104</v>
      </c>
      <c r="R62" s="14">
        <f>IF(Q62="","",Q62/11)</f>
        <v>9.454545454545455</v>
      </c>
      <c r="S62" s="8">
        <f>IF(R62="","",1+COUNTIF($R$2:$R$116,"&gt;"&amp;R62))</f>
        <v>12</v>
      </c>
      <c r="T62" s="8" t="str">
        <f>IF(Table_1er_trimestre_H[[#This Row],[Moyenne]]&gt;=5,"Validé","Non Validé")</f>
        <v>Validé</v>
      </c>
    </row>
    <row r="63" spans="1:20" ht="20.25">
      <c r="A63" s="15">
        <v>62</v>
      </c>
      <c r="B63" s="15" t="s">
        <v>68</v>
      </c>
      <c r="C63" s="15" t="s">
        <v>20</v>
      </c>
      <c r="D63" s="18">
        <v>8</v>
      </c>
      <c r="E63" s="18">
        <v>2</v>
      </c>
      <c r="F63" s="16">
        <v>6</v>
      </c>
      <c r="G63" s="16">
        <v>8</v>
      </c>
      <c r="H63" s="16">
        <v>8</v>
      </c>
      <c r="I63" s="16">
        <v>10</v>
      </c>
      <c r="J63" s="16">
        <v>7</v>
      </c>
      <c r="K63" s="16">
        <v>10</v>
      </c>
      <c r="L63" s="16">
        <v>0</v>
      </c>
      <c r="M63" s="16">
        <v>6</v>
      </c>
      <c r="N63" s="16">
        <v>6</v>
      </c>
      <c r="O63" s="16">
        <v>10</v>
      </c>
      <c r="P63" s="16">
        <v>7</v>
      </c>
      <c r="Q63" s="16">
        <f>IF(COUNTA(F63:P63)=0,"",SUM(F63:P63))</f>
        <v>78</v>
      </c>
      <c r="R63" s="17">
        <f>IF(Q63="","",Q63/11)</f>
        <v>7.0909090909090908</v>
      </c>
      <c r="S63" s="15">
        <f>IF(R63="","",1+COUNTIF($R$2:$R$116,"&gt;"&amp;R63))</f>
        <v>72</v>
      </c>
      <c r="T63" s="15" t="str">
        <f>IF(Table_1er_trimestre_H[[#This Row],[Moyenne]]&gt;=5,"Validé","Non Validé")</f>
        <v>Validé</v>
      </c>
    </row>
    <row r="64" spans="1:20" ht="20.25">
      <c r="A64" s="8">
        <v>54</v>
      </c>
      <c r="B64" s="8" t="s">
        <v>69</v>
      </c>
      <c r="C64" s="8" t="s">
        <v>18</v>
      </c>
      <c r="D64" s="7">
        <v>8</v>
      </c>
      <c r="E64" s="7">
        <v>2</v>
      </c>
      <c r="F64" s="13">
        <v>4</v>
      </c>
      <c r="G64" s="13">
        <v>5</v>
      </c>
      <c r="H64" s="13">
        <v>5</v>
      </c>
      <c r="I64" s="13">
        <v>5</v>
      </c>
      <c r="J64" s="13">
        <v>7</v>
      </c>
      <c r="K64" s="13">
        <v>9</v>
      </c>
      <c r="L64" s="13">
        <v>9</v>
      </c>
      <c r="M64" s="13">
        <v>9</v>
      </c>
      <c r="N64" s="13">
        <v>8</v>
      </c>
      <c r="O64" s="13">
        <v>5</v>
      </c>
      <c r="P64" s="13">
        <v>5</v>
      </c>
      <c r="Q64" s="13">
        <f>IF(COUNTA(F64:P64)=0,"",SUM(F64:P64))</f>
        <v>71</v>
      </c>
      <c r="R64" s="14">
        <f>IF(Q64="","",Q64/11)</f>
        <v>6.4545454545454541</v>
      </c>
      <c r="S64" s="8">
        <f>IF(R64="","",1+COUNTIF($R$2:$R$116,"&gt;"&amp;R64))</f>
        <v>92</v>
      </c>
      <c r="T64" s="8" t="str">
        <f>IF(Table_1er_trimestre_H[[#This Row],[Moyenne]]&gt;=5,"Validé","Non Validé")</f>
        <v>Validé</v>
      </c>
    </row>
    <row r="65" spans="1:20" s="3" customFormat="1" ht="20.25">
      <c r="A65" s="8">
        <v>50</v>
      </c>
      <c r="B65" s="8" t="s">
        <v>70</v>
      </c>
      <c r="C65" s="8" t="s">
        <v>18</v>
      </c>
      <c r="D65" s="7">
        <v>8</v>
      </c>
      <c r="E65" s="7">
        <v>2</v>
      </c>
      <c r="F65" s="13">
        <v>10</v>
      </c>
      <c r="G65" s="13">
        <v>9</v>
      </c>
      <c r="H65" s="13">
        <v>10</v>
      </c>
      <c r="I65" s="13">
        <v>10</v>
      </c>
      <c r="J65" s="13">
        <v>7</v>
      </c>
      <c r="K65" s="13">
        <v>10</v>
      </c>
      <c r="L65" s="13">
        <v>10</v>
      </c>
      <c r="M65" s="13">
        <v>8</v>
      </c>
      <c r="N65" s="13">
        <v>10</v>
      </c>
      <c r="O65" s="13">
        <v>7</v>
      </c>
      <c r="P65" s="13">
        <v>7</v>
      </c>
      <c r="Q65" s="13">
        <f>IF(COUNTA(F65:P65)=0,"",SUM(F65:P65))</f>
        <v>98</v>
      </c>
      <c r="R65" s="14">
        <f>IF(Q65="","",Q65/11)</f>
        <v>8.9090909090909083</v>
      </c>
      <c r="S65" s="8">
        <f>IF(R65="","",1+COUNTIF($R$2:$R$116,"&gt;"&amp;R65))</f>
        <v>23</v>
      </c>
      <c r="T65" s="8" t="str">
        <f>IF(Table_1er_trimestre_H[[#This Row],[Moyenne]]&gt;=5,"Validé","Non Validé")</f>
        <v>Validé</v>
      </c>
    </row>
    <row r="66" spans="1:20" s="3" customFormat="1" ht="20.25">
      <c r="A66" s="15">
        <v>63</v>
      </c>
      <c r="B66" s="15" t="s">
        <v>71</v>
      </c>
      <c r="C66" s="15" t="s">
        <v>20</v>
      </c>
      <c r="D66" s="18">
        <v>8</v>
      </c>
      <c r="E66" s="18">
        <v>2</v>
      </c>
      <c r="F66" s="16">
        <v>8</v>
      </c>
      <c r="G66" s="16">
        <v>6</v>
      </c>
      <c r="H66" s="16">
        <v>8</v>
      </c>
      <c r="I66" s="16">
        <v>10</v>
      </c>
      <c r="J66" s="16">
        <v>7</v>
      </c>
      <c r="K66" s="16">
        <v>10</v>
      </c>
      <c r="L66" s="16">
        <v>0</v>
      </c>
      <c r="M66" s="16">
        <v>7</v>
      </c>
      <c r="N66" s="16">
        <v>3</v>
      </c>
      <c r="O66" s="16">
        <v>10</v>
      </c>
      <c r="P66" s="16">
        <v>7</v>
      </c>
      <c r="Q66" s="16">
        <f>IF(COUNTA(F66:P66)=0,"",SUM(F66:P66))</f>
        <v>76</v>
      </c>
      <c r="R66" s="17">
        <f>IF(Q66="","",Q66/11)</f>
        <v>6.9090909090909092</v>
      </c>
      <c r="S66" s="15">
        <f>IF(R66="","",1+COUNTIF($R$2:$R$116,"&gt;"&amp;R66))</f>
        <v>81</v>
      </c>
      <c r="T66" s="15" t="str">
        <f>IF(Table_1er_trimestre_H[[#This Row],[Moyenne]]&gt;=5,"Validé","Non Validé")</f>
        <v>Validé</v>
      </c>
    </row>
    <row r="67" spans="1:20" ht="20.25">
      <c r="A67" s="15">
        <v>53</v>
      </c>
      <c r="B67" s="15" t="s">
        <v>123</v>
      </c>
      <c r="C67" s="15" t="s">
        <v>20</v>
      </c>
      <c r="D67" s="18">
        <v>8</v>
      </c>
      <c r="E67" s="18">
        <v>2</v>
      </c>
      <c r="F67" s="16">
        <v>7</v>
      </c>
      <c r="G67" s="16">
        <v>9</v>
      </c>
      <c r="H67" s="16">
        <v>9</v>
      </c>
      <c r="I67" s="16">
        <v>8</v>
      </c>
      <c r="J67" s="16">
        <v>8</v>
      </c>
      <c r="K67" s="16">
        <v>10</v>
      </c>
      <c r="L67" s="16">
        <v>9</v>
      </c>
      <c r="M67" s="16">
        <v>8</v>
      </c>
      <c r="N67" s="16">
        <v>10</v>
      </c>
      <c r="O67" s="16">
        <v>7</v>
      </c>
      <c r="P67" s="16">
        <v>6</v>
      </c>
      <c r="Q67" s="16">
        <f>IF(COUNTA(F67:P67)=0,"",SUM(F67:P67))</f>
        <v>91</v>
      </c>
      <c r="R67" s="17">
        <f>IF(Q67="","",Q67/11)</f>
        <v>8.2727272727272734</v>
      </c>
      <c r="S67" s="15">
        <f>IF(R67="","",1+COUNTIF($R$2:$R$116,"&gt;"&amp;R67))</f>
        <v>40</v>
      </c>
      <c r="T67" s="15" t="str">
        <f>IF(Table_1er_trimestre_H[[#This Row],[Moyenne]]&gt;=5,"Validé","Non Validé")</f>
        <v>Validé</v>
      </c>
    </row>
    <row r="68" spans="1:20" ht="20.25">
      <c r="A68" s="15">
        <v>51</v>
      </c>
      <c r="B68" s="15" t="s">
        <v>124</v>
      </c>
      <c r="C68" s="15" t="s">
        <v>20</v>
      </c>
      <c r="D68" s="18">
        <v>8</v>
      </c>
      <c r="E68" s="18">
        <v>2</v>
      </c>
      <c r="F68" s="16">
        <v>6</v>
      </c>
      <c r="G68" s="16">
        <v>7</v>
      </c>
      <c r="H68" s="16">
        <v>6</v>
      </c>
      <c r="I68" s="16">
        <v>7</v>
      </c>
      <c r="J68" s="16">
        <v>6</v>
      </c>
      <c r="K68" s="16">
        <v>8</v>
      </c>
      <c r="L68" s="16">
        <v>8</v>
      </c>
      <c r="M68" s="16">
        <v>8</v>
      </c>
      <c r="N68" s="16">
        <v>8</v>
      </c>
      <c r="O68" s="16">
        <v>5</v>
      </c>
      <c r="P68" s="16">
        <v>6</v>
      </c>
      <c r="Q68" s="16">
        <f>IF(COUNTA(F68:P68)=0,"",SUM(F68:P68))</f>
        <v>75</v>
      </c>
      <c r="R68" s="17">
        <f>IF(Q68="","",Q68/11)</f>
        <v>6.8181818181818183</v>
      </c>
      <c r="S68" s="15">
        <f>IF(R68="","",1+COUNTIF($R$2:$R$116,"&gt;"&amp;R68))</f>
        <v>84</v>
      </c>
      <c r="T68" s="15" t="str">
        <f>IF(Table_1er_trimestre_H[[#This Row],[Moyenne]]&gt;=5,"Validé","Non Validé")</f>
        <v>Validé</v>
      </c>
    </row>
    <row r="69" spans="1:20" s="3" customFormat="1" ht="20.25">
      <c r="A69" s="15">
        <v>68</v>
      </c>
      <c r="B69" s="15" t="s">
        <v>72</v>
      </c>
      <c r="C69" s="15" t="s">
        <v>20</v>
      </c>
      <c r="D69" s="18">
        <v>9</v>
      </c>
      <c r="E69" s="18">
        <v>2</v>
      </c>
      <c r="F69" s="16">
        <v>10</v>
      </c>
      <c r="G69" s="16">
        <v>10</v>
      </c>
      <c r="H69" s="16">
        <v>9</v>
      </c>
      <c r="I69" s="16">
        <v>10</v>
      </c>
      <c r="J69" s="16">
        <v>9</v>
      </c>
      <c r="K69" s="16">
        <v>10</v>
      </c>
      <c r="L69" s="16">
        <v>10</v>
      </c>
      <c r="M69" s="16">
        <v>9</v>
      </c>
      <c r="N69" s="16">
        <v>10</v>
      </c>
      <c r="O69" s="16">
        <v>10</v>
      </c>
      <c r="P69" s="16">
        <v>10</v>
      </c>
      <c r="Q69" s="16">
        <f>IF(COUNTA(F69:P69)=0,"",SUM(F69:P69))</f>
        <v>107</v>
      </c>
      <c r="R69" s="17">
        <f>IF(Q69="","",Q69/11)</f>
        <v>9.7272727272727266</v>
      </c>
      <c r="S69" s="15">
        <f>IF(R69="","",1+COUNTIF($R$2:$R$116,"&gt;"&amp;R69))</f>
        <v>2</v>
      </c>
      <c r="T69" s="15" t="str">
        <f>IF(Table_1er_trimestre_H[[#This Row],[Moyenne]]&gt;=5,"Validé","Non Validé")</f>
        <v>Validé</v>
      </c>
    </row>
    <row r="70" spans="1:20" s="3" customFormat="1" ht="20.25">
      <c r="A70" s="15">
        <v>69</v>
      </c>
      <c r="B70" s="15" t="s">
        <v>73</v>
      </c>
      <c r="C70" s="15" t="s">
        <v>20</v>
      </c>
      <c r="D70" s="18">
        <v>8</v>
      </c>
      <c r="E70" s="18">
        <v>2</v>
      </c>
      <c r="F70" s="16">
        <v>10</v>
      </c>
      <c r="G70" s="16">
        <v>8</v>
      </c>
      <c r="H70" s="16">
        <v>8</v>
      </c>
      <c r="I70" s="16">
        <v>4</v>
      </c>
      <c r="J70" s="16">
        <v>7</v>
      </c>
      <c r="K70" s="16">
        <v>10</v>
      </c>
      <c r="L70" s="16">
        <v>0</v>
      </c>
      <c r="M70" s="16">
        <v>9</v>
      </c>
      <c r="N70" s="16">
        <v>5</v>
      </c>
      <c r="O70" s="16">
        <v>10</v>
      </c>
      <c r="P70" s="16">
        <v>8</v>
      </c>
      <c r="Q70" s="16">
        <f>IF(COUNTA(F70:P70)=0,"",SUM(F70:P70))</f>
        <v>79</v>
      </c>
      <c r="R70" s="17">
        <f>IF(Q70="","",Q70/11)</f>
        <v>7.1818181818181817</v>
      </c>
      <c r="S70" s="15">
        <f>IF(R70="","",1+COUNTIF($R$2:$R$116,"&gt;"&amp;R70))</f>
        <v>70</v>
      </c>
      <c r="T70" s="15" t="str">
        <f>IF(Table_1er_trimestre_H[[#This Row],[Moyenne]]&gt;=5,"Validé","Non Validé")</f>
        <v>Validé</v>
      </c>
    </row>
    <row r="71" spans="1:20" s="3" customFormat="1" ht="20.25">
      <c r="A71" s="15">
        <v>70</v>
      </c>
      <c r="B71" s="15" t="s">
        <v>74</v>
      </c>
      <c r="C71" s="15" t="s">
        <v>20</v>
      </c>
      <c r="D71" s="18">
        <v>8</v>
      </c>
      <c r="E71" s="18">
        <v>2</v>
      </c>
      <c r="F71" s="16">
        <v>10</v>
      </c>
      <c r="G71" s="16">
        <v>8</v>
      </c>
      <c r="H71" s="16">
        <v>8</v>
      </c>
      <c r="I71" s="16">
        <v>4</v>
      </c>
      <c r="J71" s="16">
        <v>8</v>
      </c>
      <c r="K71" s="16">
        <v>9</v>
      </c>
      <c r="L71" s="16">
        <v>0</v>
      </c>
      <c r="M71" s="16">
        <v>7</v>
      </c>
      <c r="N71" s="16">
        <v>5</v>
      </c>
      <c r="O71" s="16">
        <v>10</v>
      </c>
      <c r="P71" s="16">
        <v>8</v>
      </c>
      <c r="Q71" s="16">
        <f>IF(COUNTA(F71:P71)=0,"",SUM(F71:P71))</f>
        <v>77</v>
      </c>
      <c r="R71" s="17">
        <f>IF(Q71="","",Q71/11)</f>
        <v>7</v>
      </c>
      <c r="S71" s="15">
        <f>IF(R71="","",1+COUNTIF($R$2:$R$116,"&gt;"&amp;R71))</f>
        <v>76</v>
      </c>
      <c r="T71" s="15" t="str">
        <f>IF(Table_1er_trimestre_H[[#This Row],[Moyenne]]&gt;=5,"Validé","Non Validé")</f>
        <v>Validé</v>
      </c>
    </row>
    <row r="72" spans="1:20" ht="20.25">
      <c r="A72" s="15">
        <v>71</v>
      </c>
      <c r="B72" s="15" t="s">
        <v>75</v>
      </c>
      <c r="C72" s="15" t="s">
        <v>20</v>
      </c>
      <c r="D72" s="18">
        <v>8</v>
      </c>
      <c r="E72" s="18">
        <v>2</v>
      </c>
      <c r="F72" s="16">
        <v>10</v>
      </c>
      <c r="G72" s="16">
        <v>10</v>
      </c>
      <c r="H72" s="16">
        <v>9</v>
      </c>
      <c r="I72" s="16">
        <v>8</v>
      </c>
      <c r="J72" s="16">
        <v>8</v>
      </c>
      <c r="K72" s="16">
        <v>9</v>
      </c>
      <c r="L72" s="16">
        <v>2</v>
      </c>
      <c r="M72" s="16">
        <v>8</v>
      </c>
      <c r="N72" s="16">
        <v>8</v>
      </c>
      <c r="O72" s="16">
        <v>10</v>
      </c>
      <c r="P72" s="16">
        <v>8</v>
      </c>
      <c r="Q72" s="16">
        <f>IF(COUNTA(F72:P72)=0,"",SUM(F72:P72))</f>
        <v>90</v>
      </c>
      <c r="R72" s="17">
        <f>IF(Q72="","",Q72/11)</f>
        <v>8.1818181818181817</v>
      </c>
      <c r="S72" s="15">
        <f>IF(R72="","",1+COUNTIF($R$2:$R$116,"&gt;"&amp;R72))</f>
        <v>43</v>
      </c>
      <c r="T72" s="15" t="str">
        <f>IF(Table_1er_trimestre_H[[#This Row],[Moyenne]]&gt;=5,"Validé","Non Validé")</f>
        <v>Validé</v>
      </c>
    </row>
    <row r="73" spans="1:20" ht="20.25">
      <c r="A73" s="8">
        <v>72</v>
      </c>
      <c r="B73" s="8" t="s">
        <v>76</v>
      </c>
      <c r="C73" s="8" t="s">
        <v>18</v>
      </c>
      <c r="D73" s="7">
        <v>8</v>
      </c>
      <c r="E73" s="7">
        <v>2</v>
      </c>
      <c r="F73" s="13">
        <v>9</v>
      </c>
      <c r="G73" s="13">
        <v>6</v>
      </c>
      <c r="H73" s="13">
        <v>8</v>
      </c>
      <c r="I73" s="13">
        <v>4</v>
      </c>
      <c r="J73" s="13">
        <v>6</v>
      </c>
      <c r="K73" s="13">
        <v>9</v>
      </c>
      <c r="L73" s="13">
        <v>0</v>
      </c>
      <c r="M73" s="13">
        <v>7</v>
      </c>
      <c r="N73" s="13">
        <v>8</v>
      </c>
      <c r="O73" s="13">
        <v>10</v>
      </c>
      <c r="P73" s="13">
        <v>8</v>
      </c>
      <c r="Q73" s="13">
        <f>IF(COUNTA(F73:P73)=0,"",SUM(F73:P73))</f>
        <v>75</v>
      </c>
      <c r="R73" s="14">
        <f>IF(Q73="","",Q73/11)</f>
        <v>6.8181818181818183</v>
      </c>
      <c r="S73" s="8">
        <f>IF(R73="","",1+COUNTIF($R$2:$R$116,"&gt;"&amp;R73))</f>
        <v>84</v>
      </c>
      <c r="T73" s="8" t="str">
        <f>IF(Table_1er_trimestre_H[[#This Row],[Moyenne]]&gt;=5,"Validé","Non Validé")</f>
        <v>Validé</v>
      </c>
    </row>
    <row r="74" spans="1:20" ht="20.25">
      <c r="A74" s="8">
        <v>73</v>
      </c>
      <c r="B74" s="8" t="s">
        <v>77</v>
      </c>
      <c r="C74" s="8" t="s">
        <v>18</v>
      </c>
      <c r="D74" s="7">
        <v>8</v>
      </c>
      <c r="E74" s="7">
        <v>2</v>
      </c>
      <c r="F74" s="13">
        <v>10</v>
      </c>
      <c r="G74" s="13">
        <v>10</v>
      </c>
      <c r="H74" s="13">
        <v>8</v>
      </c>
      <c r="I74" s="13">
        <v>7</v>
      </c>
      <c r="J74" s="13">
        <v>8</v>
      </c>
      <c r="K74" s="13">
        <v>10</v>
      </c>
      <c r="L74" s="13">
        <v>8</v>
      </c>
      <c r="M74" s="13">
        <v>8</v>
      </c>
      <c r="N74" s="13">
        <v>9</v>
      </c>
      <c r="O74" s="13">
        <v>10</v>
      </c>
      <c r="P74" s="13">
        <v>8</v>
      </c>
      <c r="Q74" s="13">
        <f>IF(COUNTA(F74:P74)=0,"",SUM(F74:P74))</f>
        <v>96</v>
      </c>
      <c r="R74" s="14">
        <f>IF(Q74="","",Q74/11)</f>
        <v>8.7272727272727266</v>
      </c>
      <c r="S74" s="8">
        <f>IF(R74="","",1+COUNTIF($R$2:$R$116,"&gt;"&amp;R74))</f>
        <v>27</v>
      </c>
      <c r="T74" s="8" t="str">
        <f>IF(Table_1er_trimestre_H[[#This Row],[Moyenne]]&gt;=5,"Validé","Non Validé")</f>
        <v>Validé</v>
      </c>
    </row>
    <row r="75" spans="1:20" ht="20.25">
      <c r="A75" s="15">
        <v>74</v>
      </c>
      <c r="B75" s="15" t="s">
        <v>78</v>
      </c>
      <c r="C75" s="15" t="s">
        <v>20</v>
      </c>
      <c r="D75" s="18">
        <v>8</v>
      </c>
      <c r="E75" s="18">
        <v>2</v>
      </c>
      <c r="F75" s="16">
        <v>10</v>
      </c>
      <c r="G75" s="16">
        <v>10</v>
      </c>
      <c r="H75" s="16">
        <v>10</v>
      </c>
      <c r="I75" s="16">
        <v>10</v>
      </c>
      <c r="J75" s="16">
        <v>9</v>
      </c>
      <c r="K75" s="16">
        <v>10</v>
      </c>
      <c r="L75" s="16">
        <v>10</v>
      </c>
      <c r="M75" s="16">
        <v>10</v>
      </c>
      <c r="N75" s="16">
        <v>9</v>
      </c>
      <c r="O75" s="16">
        <v>10</v>
      </c>
      <c r="P75" s="16">
        <v>10</v>
      </c>
      <c r="Q75" s="16">
        <f>IF(COUNTA(F75:P75)=0,"",SUM(F75:P75))</f>
        <v>108</v>
      </c>
      <c r="R75" s="17">
        <f>IF(Q75="","",Q75/11)</f>
        <v>9.8181818181818183</v>
      </c>
      <c r="S75" s="15">
        <f>IF(R75="","",1+COUNTIF($R$2:$R$116,"&gt;"&amp;R75))</f>
        <v>1</v>
      </c>
      <c r="T75" s="15" t="str">
        <f>IF(Table_1er_trimestre_H[[#This Row],[Moyenne]]&gt;=5,"Validé","Non Validé")</f>
        <v>Validé</v>
      </c>
    </row>
    <row r="76" spans="1:20" ht="20.25">
      <c r="A76" s="15">
        <v>75</v>
      </c>
      <c r="B76" s="15" t="s">
        <v>79</v>
      </c>
      <c r="C76" s="15" t="s">
        <v>20</v>
      </c>
      <c r="D76" s="18">
        <v>8</v>
      </c>
      <c r="E76" s="18">
        <v>2</v>
      </c>
      <c r="F76" s="16">
        <v>10</v>
      </c>
      <c r="G76" s="16">
        <v>10</v>
      </c>
      <c r="H76" s="16">
        <v>9</v>
      </c>
      <c r="I76" s="16">
        <v>10</v>
      </c>
      <c r="J76" s="16">
        <v>9</v>
      </c>
      <c r="K76" s="16">
        <v>10</v>
      </c>
      <c r="L76" s="16">
        <v>9</v>
      </c>
      <c r="M76" s="16">
        <v>9</v>
      </c>
      <c r="N76" s="16">
        <v>10</v>
      </c>
      <c r="O76" s="16">
        <v>10</v>
      </c>
      <c r="P76" s="16">
        <v>10</v>
      </c>
      <c r="Q76" s="16">
        <f>IF(COUNTA(F76:P76)=0,"",SUM(F76:P76))</f>
        <v>106</v>
      </c>
      <c r="R76" s="17">
        <f>IF(Q76="","",Q76/11)</f>
        <v>9.6363636363636367</v>
      </c>
      <c r="S76" s="15">
        <f>IF(R76="","",1+COUNTIF($R$2:$R$116,"&gt;"&amp;R76))</f>
        <v>6</v>
      </c>
      <c r="T76" s="15" t="str">
        <f>IF(Table_1er_trimestre_H[[#This Row],[Moyenne]]&gt;=5,"Validé","Non Validé")</f>
        <v>Validé</v>
      </c>
    </row>
    <row r="77" spans="1:20" s="3" customFormat="1" ht="20.25">
      <c r="A77" s="8">
        <v>76</v>
      </c>
      <c r="B77" s="8" t="s">
        <v>80</v>
      </c>
      <c r="C77" s="8" t="s">
        <v>18</v>
      </c>
      <c r="D77" s="7">
        <v>8</v>
      </c>
      <c r="E77" s="7">
        <v>2</v>
      </c>
      <c r="F77" s="13">
        <v>10</v>
      </c>
      <c r="G77" s="13">
        <v>10</v>
      </c>
      <c r="H77" s="13">
        <v>9</v>
      </c>
      <c r="I77" s="13">
        <v>10</v>
      </c>
      <c r="J77" s="13">
        <v>9</v>
      </c>
      <c r="K77" s="13">
        <v>10</v>
      </c>
      <c r="L77" s="13">
        <v>9</v>
      </c>
      <c r="M77" s="13">
        <v>10</v>
      </c>
      <c r="N77" s="13">
        <v>10</v>
      </c>
      <c r="O77" s="13">
        <v>10</v>
      </c>
      <c r="P77" s="13">
        <v>10</v>
      </c>
      <c r="Q77" s="13">
        <f>IF(COUNTA(F77:P77)=0,"",SUM(F77:P77))</f>
        <v>107</v>
      </c>
      <c r="R77" s="14">
        <f>IF(Q77="","",Q77/11)</f>
        <v>9.7272727272727266</v>
      </c>
      <c r="S77" s="8">
        <f>IF(R77="","",1+COUNTIF($R$2:$R$116,"&gt;"&amp;R77))</f>
        <v>2</v>
      </c>
      <c r="T77" s="8" t="str">
        <f>IF(Table_1er_trimestre_H[[#This Row],[Moyenne]]&gt;=5,"Validé","Non Validé")</f>
        <v>Validé</v>
      </c>
    </row>
    <row r="78" spans="1:20" s="3" customFormat="1" ht="20.25">
      <c r="A78" s="15">
        <v>77</v>
      </c>
      <c r="B78" s="15" t="s">
        <v>81</v>
      </c>
      <c r="C78" s="15" t="s">
        <v>20</v>
      </c>
      <c r="D78" s="18">
        <v>8</v>
      </c>
      <c r="E78" s="18">
        <v>2</v>
      </c>
      <c r="F78" s="16">
        <v>8</v>
      </c>
      <c r="G78" s="16">
        <v>10</v>
      </c>
      <c r="H78" s="16">
        <v>8</v>
      </c>
      <c r="I78" s="16">
        <v>8</v>
      </c>
      <c r="J78" s="16">
        <v>6</v>
      </c>
      <c r="K78" s="16">
        <v>10</v>
      </c>
      <c r="L78" s="16">
        <v>9</v>
      </c>
      <c r="M78" s="16">
        <v>6</v>
      </c>
      <c r="N78" s="16">
        <v>6</v>
      </c>
      <c r="O78" s="16">
        <v>10</v>
      </c>
      <c r="P78" s="16">
        <v>6</v>
      </c>
      <c r="Q78" s="16">
        <f>IF(COUNTA(F78:P78)=0,"",SUM(F78:P78))</f>
        <v>87</v>
      </c>
      <c r="R78" s="17">
        <f>IF(Q78="","",Q78/11)</f>
        <v>7.9090909090909092</v>
      </c>
      <c r="S78" s="15">
        <f>IF(R78="","",1+COUNTIF($R$2:$R$116,"&gt;"&amp;R78))</f>
        <v>50</v>
      </c>
      <c r="T78" s="15" t="str">
        <f>IF(Table_1er_trimestre_H[[#This Row],[Moyenne]]&gt;=5,"Validé","Non Validé")</f>
        <v>Validé</v>
      </c>
    </row>
    <row r="79" spans="1:20" ht="20.25">
      <c r="A79" s="8">
        <v>78</v>
      </c>
      <c r="B79" s="8" t="s">
        <v>82</v>
      </c>
      <c r="C79" s="8" t="s">
        <v>18</v>
      </c>
      <c r="D79" s="7">
        <v>8</v>
      </c>
      <c r="E79" s="7">
        <v>2</v>
      </c>
      <c r="F79" s="13">
        <v>9</v>
      </c>
      <c r="G79" s="13">
        <v>8</v>
      </c>
      <c r="H79" s="13">
        <v>8</v>
      </c>
      <c r="I79" s="13">
        <v>4</v>
      </c>
      <c r="J79" s="13">
        <v>8</v>
      </c>
      <c r="K79" s="13">
        <v>9</v>
      </c>
      <c r="L79" s="13">
        <v>6</v>
      </c>
      <c r="M79" s="13">
        <v>7</v>
      </c>
      <c r="N79" s="13">
        <v>6</v>
      </c>
      <c r="O79" s="13">
        <v>10</v>
      </c>
      <c r="P79" s="13">
        <v>7</v>
      </c>
      <c r="Q79" s="13">
        <f>IF(COUNTA(F79:P79)=0,"",SUM(F79:P79))</f>
        <v>82</v>
      </c>
      <c r="R79" s="14">
        <f>IF(Q79="","",Q79/11)</f>
        <v>7.4545454545454541</v>
      </c>
      <c r="S79" s="8">
        <f>IF(R79="","",1+COUNTIF($R$2:$R$116,"&gt;"&amp;R79))</f>
        <v>61</v>
      </c>
      <c r="T79" s="8" t="str">
        <f>IF(Table_1er_trimestre_H[[#This Row],[Moyenne]]&gt;=5,"Validé","Non Validé")</f>
        <v>Validé</v>
      </c>
    </row>
    <row r="80" spans="1:20" ht="20.25">
      <c r="A80" s="15">
        <v>79</v>
      </c>
      <c r="B80" s="15" t="s">
        <v>83</v>
      </c>
      <c r="C80" s="15" t="s">
        <v>20</v>
      </c>
      <c r="D80" s="18">
        <v>8</v>
      </c>
      <c r="E80" s="18">
        <v>2</v>
      </c>
      <c r="F80" s="16">
        <v>10</v>
      </c>
      <c r="G80" s="16">
        <v>10</v>
      </c>
      <c r="H80" s="16">
        <v>9</v>
      </c>
      <c r="I80" s="16">
        <v>5</v>
      </c>
      <c r="J80" s="16">
        <v>9</v>
      </c>
      <c r="K80" s="16">
        <v>9</v>
      </c>
      <c r="L80" s="16">
        <v>4</v>
      </c>
      <c r="M80" s="16">
        <v>9</v>
      </c>
      <c r="N80" s="16">
        <v>9</v>
      </c>
      <c r="O80" s="16">
        <v>10</v>
      </c>
      <c r="P80" s="16">
        <v>9</v>
      </c>
      <c r="Q80" s="16">
        <f>IF(COUNTA(F80:P80)=0,"",SUM(F80:P80))</f>
        <v>93</v>
      </c>
      <c r="R80" s="17">
        <f>IF(Q80="","",Q80/11)</f>
        <v>8.454545454545455</v>
      </c>
      <c r="S80" s="15">
        <f>IF(R80="","",1+COUNTIF($R$2:$R$116,"&gt;"&amp;R80))</f>
        <v>34</v>
      </c>
      <c r="T80" s="15" t="str">
        <f>IF(Table_1er_trimestre_H[[#This Row],[Moyenne]]&gt;=5,"Validé","Non Validé")</f>
        <v>Validé</v>
      </c>
    </row>
    <row r="81" spans="1:20" s="3" customFormat="1" ht="20.25">
      <c r="A81" s="15">
        <v>80</v>
      </c>
      <c r="B81" s="15" t="s">
        <v>84</v>
      </c>
      <c r="C81" s="15" t="s">
        <v>20</v>
      </c>
      <c r="D81" s="18">
        <v>8</v>
      </c>
      <c r="E81" s="18">
        <v>2</v>
      </c>
      <c r="F81" s="16">
        <v>10</v>
      </c>
      <c r="G81" s="16">
        <v>10</v>
      </c>
      <c r="H81" s="16">
        <v>8</v>
      </c>
      <c r="I81" s="16">
        <v>10</v>
      </c>
      <c r="J81" s="16">
        <v>7</v>
      </c>
      <c r="K81" s="16">
        <v>8</v>
      </c>
      <c r="L81" s="16">
        <v>0</v>
      </c>
      <c r="M81" s="16">
        <v>7</v>
      </c>
      <c r="N81" s="16">
        <v>6</v>
      </c>
      <c r="O81" s="16">
        <v>10</v>
      </c>
      <c r="P81" s="16">
        <v>8</v>
      </c>
      <c r="Q81" s="16">
        <f>IF(COUNTA(F81:P81)=0,"",SUM(F81:P81))</f>
        <v>84</v>
      </c>
      <c r="R81" s="17">
        <f>IF(Q81="","",Q81/11)</f>
        <v>7.6363636363636367</v>
      </c>
      <c r="S81" s="15">
        <f>IF(R81="","",1+COUNTIF($R$2:$R$116,"&gt;"&amp;R81))</f>
        <v>55</v>
      </c>
      <c r="T81" s="15" t="str">
        <f>IF(Table_1er_trimestre_H[[#This Row],[Moyenne]]&gt;=5,"Validé","Non Validé")</f>
        <v>Validé</v>
      </c>
    </row>
    <row r="82" spans="1:20" s="2" customFormat="1" ht="20.25">
      <c r="A82" s="8">
        <v>81</v>
      </c>
      <c r="B82" s="8" t="s">
        <v>85</v>
      </c>
      <c r="C82" s="8" t="s">
        <v>18</v>
      </c>
      <c r="D82" s="7">
        <v>8</v>
      </c>
      <c r="E82" s="7">
        <v>2</v>
      </c>
      <c r="F82" s="13">
        <v>10</v>
      </c>
      <c r="G82" s="13">
        <v>10</v>
      </c>
      <c r="H82" s="13">
        <v>10</v>
      </c>
      <c r="I82" s="13">
        <v>10</v>
      </c>
      <c r="J82" s="13">
        <v>9</v>
      </c>
      <c r="K82" s="13">
        <v>9</v>
      </c>
      <c r="L82" s="13">
        <v>8</v>
      </c>
      <c r="M82" s="13">
        <v>8</v>
      </c>
      <c r="N82" s="13">
        <v>7</v>
      </c>
      <c r="O82" s="13">
        <v>10</v>
      </c>
      <c r="P82" s="13">
        <v>10</v>
      </c>
      <c r="Q82" s="13">
        <f>IF(COUNTA(F82:P82)=0,"",SUM(F82:P82))</f>
        <v>101</v>
      </c>
      <c r="R82" s="14">
        <f>IF(Q82="","",Q82/11)</f>
        <v>9.1818181818181817</v>
      </c>
      <c r="S82" s="8">
        <f>IF(R82="","",1+COUNTIF($R$2:$R$116,"&gt;"&amp;R82))</f>
        <v>17</v>
      </c>
      <c r="T82" s="8" t="str">
        <f>IF(Table_1er_trimestre_H[[#This Row],[Moyenne]]&gt;=5,"Validé","Non Validé")</f>
        <v>Validé</v>
      </c>
    </row>
    <row r="83" spans="1:20" ht="20.25">
      <c r="A83" s="8">
        <v>82</v>
      </c>
      <c r="B83" s="8" t="s">
        <v>86</v>
      </c>
      <c r="C83" s="8" t="s">
        <v>18</v>
      </c>
      <c r="D83" s="7">
        <v>8</v>
      </c>
      <c r="E83" s="7">
        <v>2</v>
      </c>
      <c r="F83" s="13">
        <v>10</v>
      </c>
      <c r="G83" s="13">
        <v>10</v>
      </c>
      <c r="H83" s="13">
        <v>8</v>
      </c>
      <c r="I83" s="13">
        <v>10</v>
      </c>
      <c r="J83" s="13">
        <v>7</v>
      </c>
      <c r="K83" s="13">
        <v>9</v>
      </c>
      <c r="L83" s="13">
        <v>10</v>
      </c>
      <c r="M83" s="13">
        <v>6</v>
      </c>
      <c r="N83" s="13">
        <v>9</v>
      </c>
      <c r="O83" s="13">
        <v>10</v>
      </c>
      <c r="P83" s="13">
        <v>10</v>
      </c>
      <c r="Q83" s="13">
        <f>IF(COUNTA(F83:P83)=0,"",SUM(F83:P83))</f>
        <v>99</v>
      </c>
      <c r="R83" s="14">
        <f>IF(Q83="","",Q83/11)</f>
        <v>9</v>
      </c>
      <c r="S83" s="8">
        <f>IF(R83="","",1+COUNTIF($R$2:$R$116,"&gt;"&amp;R83))</f>
        <v>20</v>
      </c>
      <c r="T83" s="8" t="str">
        <f>IF(Table_1er_trimestre_H[[#This Row],[Moyenne]]&gt;=5,"Validé","Non Validé")</f>
        <v>Validé</v>
      </c>
    </row>
    <row r="84" spans="1:20" s="3" customFormat="1" ht="20.25">
      <c r="A84" s="15">
        <v>83</v>
      </c>
      <c r="B84" s="15" t="s">
        <v>87</v>
      </c>
      <c r="C84" s="15" t="s">
        <v>20</v>
      </c>
      <c r="D84" s="18">
        <v>8</v>
      </c>
      <c r="E84" s="18">
        <v>2</v>
      </c>
      <c r="F84" s="16">
        <v>10</v>
      </c>
      <c r="G84" s="16">
        <v>10</v>
      </c>
      <c r="H84" s="16">
        <v>8</v>
      </c>
      <c r="I84" s="16">
        <v>4</v>
      </c>
      <c r="J84" s="16">
        <v>7</v>
      </c>
      <c r="K84" s="16">
        <v>10</v>
      </c>
      <c r="L84" s="16">
        <v>0</v>
      </c>
      <c r="M84" s="16">
        <v>6</v>
      </c>
      <c r="N84" s="16">
        <v>5</v>
      </c>
      <c r="O84" s="16">
        <v>10</v>
      </c>
      <c r="P84" s="16">
        <v>7</v>
      </c>
      <c r="Q84" s="16">
        <f>IF(COUNTA(F84:P84)=0,"",SUM(F84:P84))</f>
        <v>77</v>
      </c>
      <c r="R84" s="17">
        <f>IF(Q84="","",Q84/11)</f>
        <v>7</v>
      </c>
      <c r="S84" s="15">
        <f>IF(R84="","",1+COUNTIF($R$2:$R$116,"&gt;"&amp;R84))</f>
        <v>76</v>
      </c>
      <c r="T84" s="15" t="str">
        <f>IF(Table_1er_trimestre_H[[#This Row],[Moyenne]]&gt;=5,"Validé","Non Validé")</f>
        <v>Validé</v>
      </c>
    </row>
    <row r="85" spans="1:20" s="3" customFormat="1" ht="24.75" customHeight="1">
      <c r="A85" s="15">
        <v>84</v>
      </c>
      <c r="B85" s="15" t="s">
        <v>88</v>
      </c>
      <c r="C85" s="15" t="s">
        <v>20</v>
      </c>
      <c r="D85" s="18">
        <v>8</v>
      </c>
      <c r="E85" s="18">
        <v>2</v>
      </c>
      <c r="F85" s="16">
        <v>10</v>
      </c>
      <c r="G85" s="16">
        <v>10</v>
      </c>
      <c r="H85" s="16">
        <v>9</v>
      </c>
      <c r="I85" s="16">
        <v>5</v>
      </c>
      <c r="J85" s="16">
        <v>7</v>
      </c>
      <c r="K85" s="16">
        <v>8</v>
      </c>
      <c r="L85" s="16">
        <v>0</v>
      </c>
      <c r="M85" s="16">
        <v>8</v>
      </c>
      <c r="N85" s="16">
        <v>8</v>
      </c>
      <c r="O85" s="16">
        <v>10</v>
      </c>
      <c r="P85" s="16">
        <v>8</v>
      </c>
      <c r="Q85" s="16">
        <f>IF(COUNTA(F85:P85)=0,"",SUM(F85:P85))</f>
        <v>83</v>
      </c>
      <c r="R85" s="17">
        <f>IF(Q85="","",Q85/11)</f>
        <v>7.5454545454545459</v>
      </c>
      <c r="S85" s="15">
        <f>IF(R85="","",1+COUNTIF($R$2:$R$116,"&gt;"&amp;R85))</f>
        <v>59</v>
      </c>
      <c r="T85" s="15" t="str">
        <f>IF(Table_1er_trimestre_H[[#This Row],[Moyenne]]&gt;=5,"Validé","Non Validé")</f>
        <v>Validé</v>
      </c>
    </row>
    <row r="86" spans="1:20" ht="20.25">
      <c r="A86" s="8">
        <v>85</v>
      </c>
      <c r="B86" s="8" t="s">
        <v>89</v>
      </c>
      <c r="C86" s="8" t="s">
        <v>18</v>
      </c>
      <c r="D86" s="7">
        <v>8</v>
      </c>
      <c r="E86" s="7">
        <v>2</v>
      </c>
      <c r="F86" s="13">
        <v>10</v>
      </c>
      <c r="G86" s="13">
        <v>10</v>
      </c>
      <c r="H86" s="13">
        <v>8</v>
      </c>
      <c r="I86" s="13">
        <v>9</v>
      </c>
      <c r="J86" s="13">
        <v>8</v>
      </c>
      <c r="K86" s="13">
        <v>10</v>
      </c>
      <c r="L86" s="13">
        <v>0</v>
      </c>
      <c r="M86" s="13">
        <v>9</v>
      </c>
      <c r="N86" s="13">
        <v>9</v>
      </c>
      <c r="O86" s="13">
        <v>10</v>
      </c>
      <c r="P86" s="13">
        <v>9</v>
      </c>
      <c r="Q86" s="13">
        <f>IF(COUNTA(F86:P86)=0,"",SUM(F86:P86))</f>
        <v>92</v>
      </c>
      <c r="R86" s="14">
        <f>IF(Q86="","",Q86/11)</f>
        <v>8.3636363636363633</v>
      </c>
      <c r="S86" s="8">
        <f>IF(R86="","",1+COUNTIF($R$2:$R$116,"&gt;"&amp;R86))</f>
        <v>37</v>
      </c>
      <c r="T86" s="8" t="str">
        <f>IF(Table_1er_trimestre_H[[#This Row],[Moyenne]]&gt;=5,"Validé","Non Validé")</f>
        <v>Validé</v>
      </c>
    </row>
    <row r="87" spans="1:20" s="3" customFormat="1" ht="20.25">
      <c r="A87" s="8">
        <v>86</v>
      </c>
      <c r="B87" s="8" t="s">
        <v>90</v>
      </c>
      <c r="C87" s="8" t="s">
        <v>18</v>
      </c>
      <c r="D87" s="7">
        <v>8</v>
      </c>
      <c r="E87" s="7">
        <v>2</v>
      </c>
      <c r="F87" s="13">
        <v>9</v>
      </c>
      <c r="G87" s="13">
        <v>8</v>
      </c>
      <c r="H87" s="13">
        <v>9</v>
      </c>
      <c r="I87" s="13">
        <v>9</v>
      </c>
      <c r="J87" s="13">
        <v>6</v>
      </c>
      <c r="K87" s="13">
        <v>9</v>
      </c>
      <c r="L87" s="13">
        <v>2</v>
      </c>
      <c r="M87" s="13">
        <v>6</v>
      </c>
      <c r="N87" s="13">
        <v>5</v>
      </c>
      <c r="O87" s="13">
        <v>10</v>
      </c>
      <c r="P87" s="13">
        <v>9</v>
      </c>
      <c r="Q87" s="13">
        <f>IF(COUNTA(F87:P87)=0,"",SUM(F87:P87))</f>
        <v>82</v>
      </c>
      <c r="R87" s="14">
        <f>IF(Q87="","",Q87/11)</f>
        <v>7.4545454545454541</v>
      </c>
      <c r="S87" s="8">
        <f>IF(R87="","",1+COUNTIF($R$2:$R$116,"&gt;"&amp;R87))</f>
        <v>61</v>
      </c>
      <c r="T87" s="8" t="str">
        <f>IF(Table_1er_trimestre_H[[#This Row],[Moyenne]]&gt;=5,"Validé","Non Validé")</f>
        <v>Validé</v>
      </c>
    </row>
    <row r="88" spans="1:20" s="3" customFormat="1" ht="21.75" customHeight="1">
      <c r="A88" s="8">
        <v>87</v>
      </c>
      <c r="B88" s="8" t="s">
        <v>91</v>
      </c>
      <c r="C88" s="8" t="s">
        <v>18</v>
      </c>
      <c r="D88" s="7">
        <v>8</v>
      </c>
      <c r="E88" s="7">
        <v>2</v>
      </c>
      <c r="F88" s="13">
        <v>10</v>
      </c>
      <c r="G88" s="13">
        <v>8</v>
      </c>
      <c r="H88" s="13">
        <v>8</v>
      </c>
      <c r="I88" s="13">
        <v>9</v>
      </c>
      <c r="J88" s="13">
        <v>6</v>
      </c>
      <c r="K88" s="13">
        <v>9</v>
      </c>
      <c r="L88" s="13">
        <v>2</v>
      </c>
      <c r="M88" s="13">
        <v>8</v>
      </c>
      <c r="N88" s="13">
        <v>0</v>
      </c>
      <c r="O88" s="13">
        <v>10</v>
      </c>
      <c r="P88" s="13">
        <v>6</v>
      </c>
      <c r="Q88" s="13">
        <f>IF(COUNTA(F88:P88)=0,"",SUM(F88:P88))</f>
        <v>76</v>
      </c>
      <c r="R88" s="14">
        <f>IF(Q88="","",Q88/11)</f>
        <v>6.9090909090909092</v>
      </c>
      <c r="S88" s="8">
        <f>IF(R88="","",1+COUNTIF($R$2:$R$116,"&gt;"&amp;R88))</f>
        <v>81</v>
      </c>
      <c r="T88" s="8" t="str">
        <f>IF(Table_1er_trimestre_H[[#This Row],[Moyenne]]&gt;=5,"Validé","Non Validé")</f>
        <v>Validé</v>
      </c>
    </row>
    <row r="89" spans="1:20" s="3" customFormat="1" ht="15" customHeight="1">
      <c r="A89" s="8">
        <v>88</v>
      </c>
      <c r="B89" s="8" t="s">
        <v>125</v>
      </c>
      <c r="C89" s="8" t="s">
        <v>18</v>
      </c>
      <c r="D89" s="7">
        <v>8</v>
      </c>
      <c r="E89" s="7">
        <v>2</v>
      </c>
      <c r="F89" s="13">
        <v>5</v>
      </c>
      <c r="G89" s="13">
        <v>8</v>
      </c>
      <c r="H89" s="13">
        <v>5</v>
      </c>
      <c r="I89" s="13">
        <v>5</v>
      </c>
      <c r="J89" s="13">
        <v>8</v>
      </c>
      <c r="K89" s="13">
        <v>10</v>
      </c>
      <c r="L89" s="13">
        <v>10</v>
      </c>
      <c r="M89" s="13">
        <v>8</v>
      </c>
      <c r="N89" s="13">
        <v>5</v>
      </c>
      <c r="O89" s="13">
        <v>7</v>
      </c>
      <c r="P89" s="13">
        <v>6</v>
      </c>
      <c r="Q89" s="13">
        <f>IF(COUNTA(F89:P89)=0,"",SUM(F89:P89))</f>
        <v>77</v>
      </c>
      <c r="R89" s="14">
        <f>IF(Q89="","",Q89/11)</f>
        <v>7</v>
      </c>
      <c r="S89" s="8">
        <f>IF(R89="","",1+COUNTIF($R$2:$R$116,"&gt;"&amp;R89))</f>
        <v>76</v>
      </c>
      <c r="T89" s="8" t="str">
        <f>IF(Table_1er_trimestre_H[[#This Row],[Moyenne]]&gt;=5,"Validé","Non Validé")</f>
        <v>Validé</v>
      </c>
    </row>
    <row r="90" spans="1:20" ht="20.25">
      <c r="A90" s="8">
        <v>89</v>
      </c>
      <c r="B90" s="8" t="s">
        <v>92</v>
      </c>
      <c r="C90" s="8" t="s">
        <v>18</v>
      </c>
      <c r="D90" s="7">
        <v>8</v>
      </c>
      <c r="E90" s="7">
        <v>2</v>
      </c>
      <c r="F90" s="13">
        <v>10</v>
      </c>
      <c r="G90" s="13">
        <v>8</v>
      </c>
      <c r="H90" s="13">
        <v>8</v>
      </c>
      <c r="I90" s="13">
        <v>9</v>
      </c>
      <c r="J90" s="13">
        <v>6</v>
      </c>
      <c r="K90" s="13">
        <v>10</v>
      </c>
      <c r="L90" s="13">
        <v>9</v>
      </c>
      <c r="M90" s="13">
        <v>8</v>
      </c>
      <c r="N90" s="13">
        <v>7</v>
      </c>
      <c r="O90" s="13">
        <v>10</v>
      </c>
      <c r="P90" s="13">
        <v>9</v>
      </c>
      <c r="Q90" s="13">
        <f>IF(COUNTA(F90:P90)=0,"",SUM(F90:P90))</f>
        <v>94</v>
      </c>
      <c r="R90" s="14">
        <f>IF(Q90="","",Q90/11)</f>
        <v>8.545454545454545</v>
      </c>
      <c r="S90" s="8">
        <f>IF(R90="","",1+COUNTIF($R$2:$R$116,"&gt;"&amp;R90))</f>
        <v>31</v>
      </c>
      <c r="T90" s="8" t="str">
        <f>IF(Table_1er_trimestre_H[[#This Row],[Moyenne]]&gt;=5,"Validé","Non Validé")</f>
        <v>Validé</v>
      </c>
    </row>
    <row r="91" spans="1:20" ht="21.75" customHeight="1">
      <c r="A91" s="8">
        <v>91</v>
      </c>
      <c r="B91" s="8" t="s">
        <v>93</v>
      </c>
      <c r="C91" s="8" t="s">
        <v>18</v>
      </c>
      <c r="D91" s="7">
        <v>8</v>
      </c>
      <c r="E91" s="7">
        <v>2</v>
      </c>
      <c r="F91" s="13">
        <v>9</v>
      </c>
      <c r="G91" s="13">
        <v>10</v>
      </c>
      <c r="H91" s="13">
        <v>8</v>
      </c>
      <c r="I91" s="13">
        <v>8</v>
      </c>
      <c r="J91" s="13">
        <v>6</v>
      </c>
      <c r="K91" s="13">
        <v>5</v>
      </c>
      <c r="L91" s="13">
        <v>0</v>
      </c>
      <c r="M91" s="13">
        <v>8</v>
      </c>
      <c r="N91" s="13">
        <v>5</v>
      </c>
      <c r="O91" s="13">
        <v>10</v>
      </c>
      <c r="P91" s="13">
        <v>8</v>
      </c>
      <c r="Q91" s="13">
        <f>IF(COUNTA(F91:P91)=0,"",SUM(F91:P91))</f>
        <v>77</v>
      </c>
      <c r="R91" s="14">
        <f>IF(Q91="","",Q91/11)</f>
        <v>7</v>
      </c>
      <c r="S91" s="8">
        <f>IF(R91="","",1+COUNTIF($R$2:$R$116,"&gt;"&amp;R91))</f>
        <v>76</v>
      </c>
      <c r="T91" s="8" t="str">
        <f>IF(Table_1er_trimestre_H[[#This Row],[Moyenne]]&gt;=5,"Validé","Non Validé")</f>
        <v>Validé</v>
      </c>
    </row>
    <row r="92" spans="1:20" ht="20.25">
      <c r="A92" s="8">
        <v>90</v>
      </c>
      <c r="B92" s="8" t="s">
        <v>94</v>
      </c>
      <c r="C92" s="8" t="s">
        <v>18</v>
      </c>
      <c r="D92" s="7">
        <v>8</v>
      </c>
      <c r="E92" s="7">
        <v>2</v>
      </c>
      <c r="F92" s="13">
        <v>10</v>
      </c>
      <c r="G92" s="13">
        <v>10</v>
      </c>
      <c r="H92" s="13">
        <v>8</v>
      </c>
      <c r="I92" s="13">
        <v>9</v>
      </c>
      <c r="J92" s="13">
        <v>9</v>
      </c>
      <c r="K92" s="13">
        <v>10</v>
      </c>
      <c r="L92" s="13">
        <v>2</v>
      </c>
      <c r="M92" s="13">
        <v>9</v>
      </c>
      <c r="N92" s="13">
        <v>6</v>
      </c>
      <c r="O92" s="13">
        <v>10</v>
      </c>
      <c r="P92" s="13">
        <v>9</v>
      </c>
      <c r="Q92" s="13">
        <f>IF(COUNTA(F92:P92)=0,"",SUM(F92:P92))</f>
        <v>92</v>
      </c>
      <c r="R92" s="14">
        <f>IF(Q92="","",Q92/11)</f>
        <v>8.3636363636363633</v>
      </c>
      <c r="S92" s="8">
        <f>IF(R92="","",1+COUNTIF($R$2:$R$116,"&gt;"&amp;R92))</f>
        <v>37</v>
      </c>
      <c r="T92" s="8" t="str">
        <f>IF(Table_1er_trimestre_H[[#This Row],[Moyenne]]&gt;=5,"Validé","Non Validé")</f>
        <v>Validé</v>
      </c>
    </row>
    <row r="93" spans="1:20" ht="20.25">
      <c r="A93" s="8">
        <v>92</v>
      </c>
      <c r="B93" s="8" t="s">
        <v>126</v>
      </c>
      <c r="C93" s="8" t="s">
        <v>18</v>
      </c>
      <c r="D93" s="7">
        <v>8</v>
      </c>
      <c r="E93" s="7">
        <v>2</v>
      </c>
      <c r="F93" s="13">
        <v>6</v>
      </c>
      <c r="G93" s="13">
        <v>8</v>
      </c>
      <c r="H93" s="13">
        <v>9</v>
      </c>
      <c r="I93" s="13">
        <v>8</v>
      </c>
      <c r="J93" s="13">
        <v>7</v>
      </c>
      <c r="K93" s="13">
        <v>10</v>
      </c>
      <c r="L93" s="13">
        <v>6</v>
      </c>
      <c r="M93" s="13">
        <v>8</v>
      </c>
      <c r="N93" s="13">
        <v>10</v>
      </c>
      <c r="O93" s="13">
        <v>7</v>
      </c>
      <c r="P93" s="13">
        <v>7</v>
      </c>
      <c r="Q93" s="13">
        <f>IF(COUNTA(F93:P93)=0,"",SUM(F93:P93))</f>
        <v>86</v>
      </c>
      <c r="R93" s="14">
        <f>IF(Q93="","",Q93/11)</f>
        <v>7.8181818181818183</v>
      </c>
      <c r="S93" s="8">
        <f>IF(R93="","",1+COUNTIF($R$2:$R$116,"&gt;"&amp;R93))</f>
        <v>51</v>
      </c>
      <c r="T93" s="8" t="str">
        <f>IF(Table_1er_trimestre_H[[#This Row],[Moyenne]]&gt;=5,"Validé","Non Validé")</f>
        <v>Validé</v>
      </c>
    </row>
    <row r="94" spans="1:20" s="3" customFormat="1" ht="20.25">
      <c r="A94" s="15">
        <v>93</v>
      </c>
      <c r="B94" s="15" t="s">
        <v>95</v>
      </c>
      <c r="C94" s="15" t="s">
        <v>20</v>
      </c>
      <c r="D94" s="18">
        <v>8</v>
      </c>
      <c r="E94" s="18">
        <v>2</v>
      </c>
      <c r="F94" s="16">
        <v>9</v>
      </c>
      <c r="G94" s="16">
        <v>8</v>
      </c>
      <c r="H94" s="16">
        <v>8</v>
      </c>
      <c r="I94" s="16">
        <v>10</v>
      </c>
      <c r="J94" s="16">
        <v>9</v>
      </c>
      <c r="K94" s="16">
        <v>10</v>
      </c>
      <c r="L94" s="16">
        <v>6</v>
      </c>
      <c r="M94" s="16">
        <v>7</v>
      </c>
      <c r="N94" s="16">
        <v>5</v>
      </c>
      <c r="O94" s="16">
        <v>10</v>
      </c>
      <c r="P94" s="16">
        <v>10</v>
      </c>
      <c r="Q94" s="16">
        <f>IF(COUNTA(F94:P94)=0,"",SUM(F94:P94))</f>
        <v>92</v>
      </c>
      <c r="R94" s="17">
        <f>IF(Q94="","",Q94/11)</f>
        <v>8.3636363636363633</v>
      </c>
      <c r="S94" s="15">
        <f>IF(R94="","",1+COUNTIF($R$2:$R$116,"&gt;"&amp;R94))</f>
        <v>37</v>
      </c>
      <c r="T94" s="15" t="str">
        <f>IF(Table_1er_trimestre_H[[#This Row],[Moyenne]]&gt;=5,"Validé","Non Validé")</f>
        <v>Validé</v>
      </c>
    </row>
    <row r="95" spans="1:20" s="3" customFormat="1" ht="24.75" customHeight="1">
      <c r="A95" s="15">
        <v>94</v>
      </c>
      <c r="B95" s="15" t="s">
        <v>96</v>
      </c>
      <c r="C95" s="15" t="s">
        <v>20</v>
      </c>
      <c r="D95" s="18">
        <v>8</v>
      </c>
      <c r="E95" s="18">
        <v>2</v>
      </c>
      <c r="F95" s="16">
        <v>9</v>
      </c>
      <c r="G95" s="16">
        <v>8</v>
      </c>
      <c r="H95" s="16">
        <v>9</v>
      </c>
      <c r="I95" s="16">
        <v>8</v>
      </c>
      <c r="J95" s="16">
        <v>5</v>
      </c>
      <c r="K95" s="16">
        <v>9</v>
      </c>
      <c r="L95" s="16">
        <v>0</v>
      </c>
      <c r="M95" s="16">
        <v>6</v>
      </c>
      <c r="N95" s="16">
        <v>3</v>
      </c>
      <c r="O95" s="16">
        <v>10</v>
      </c>
      <c r="P95" s="16">
        <v>8</v>
      </c>
      <c r="Q95" s="16">
        <f>IF(COUNTA(F95:P95)=0,"",SUM(F95:P95))</f>
        <v>75</v>
      </c>
      <c r="R95" s="17">
        <f>IF(Q95="","",Q95/11)</f>
        <v>6.8181818181818183</v>
      </c>
      <c r="S95" s="15">
        <f>IF(R95="","",1+COUNTIF($R$2:$R$116,"&gt;"&amp;R95))</f>
        <v>84</v>
      </c>
      <c r="T95" s="15" t="str">
        <f>IF(Table_1er_trimestre_H[[#This Row],[Moyenne]]&gt;=5,"Validé","Non Validé")</f>
        <v>Validé</v>
      </c>
    </row>
    <row r="96" spans="1:20" ht="20.25">
      <c r="A96" s="15">
        <v>95</v>
      </c>
      <c r="B96" s="15" t="s">
        <v>97</v>
      </c>
      <c r="C96" s="15" t="s">
        <v>20</v>
      </c>
      <c r="D96" s="18">
        <v>8</v>
      </c>
      <c r="E96" s="18">
        <v>2</v>
      </c>
      <c r="F96" s="16">
        <v>9</v>
      </c>
      <c r="G96" s="16">
        <v>8</v>
      </c>
      <c r="H96" s="16">
        <v>8</v>
      </c>
      <c r="I96" s="16">
        <v>4</v>
      </c>
      <c r="J96" s="16">
        <v>6</v>
      </c>
      <c r="K96" s="16">
        <v>8</v>
      </c>
      <c r="L96" s="16">
        <v>0</v>
      </c>
      <c r="M96" s="16">
        <v>6</v>
      </c>
      <c r="N96" s="16">
        <v>0</v>
      </c>
      <c r="O96" s="16">
        <v>10</v>
      </c>
      <c r="P96" s="16">
        <v>6</v>
      </c>
      <c r="Q96" s="16">
        <f>IF(COUNTA(F96:P96)=0,"",SUM(F96:P96))</f>
        <v>65</v>
      </c>
      <c r="R96" s="17">
        <f>IF(Q96="","",Q96/11)</f>
        <v>5.9090909090909092</v>
      </c>
      <c r="S96" s="15">
        <f>IF(R96="","",1+COUNTIF($R$2:$R$116,"&gt;"&amp;R96))</f>
        <v>101</v>
      </c>
      <c r="T96" s="15" t="str">
        <f>IF(Table_1er_trimestre_H[[#This Row],[Moyenne]]&gt;=5,"Validé","Non Validé")</f>
        <v>Validé</v>
      </c>
    </row>
    <row r="97" spans="1:20" s="3" customFormat="1" ht="20.25">
      <c r="A97" s="8">
        <v>96</v>
      </c>
      <c r="B97" s="8" t="s">
        <v>98</v>
      </c>
      <c r="C97" s="8" t="s">
        <v>18</v>
      </c>
      <c r="D97" s="7">
        <v>8</v>
      </c>
      <c r="E97" s="7">
        <v>2</v>
      </c>
      <c r="F97" s="13">
        <v>10</v>
      </c>
      <c r="G97" s="13">
        <v>8</v>
      </c>
      <c r="H97" s="13">
        <v>8</v>
      </c>
      <c r="I97" s="13">
        <v>7</v>
      </c>
      <c r="J97" s="13">
        <v>7</v>
      </c>
      <c r="K97" s="13">
        <v>9</v>
      </c>
      <c r="L97" s="13">
        <v>0</v>
      </c>
      <c r="M97" s="13">
        <v>6</v>
      </c>
      <c r="N97" s="13">
        <v>6</v>
      </c>
      <c r="O97" s="13">
        <v>10</v>
      </c>
      <c r="P97" s="13">
        <v>7</v>
      </c>
      <c r="Q97" s="13">
        <f>IF(COUNTA(F97:P97)=0,"",SUM(F97:P97))</f>
        <v>78</v>
      </c>
      <c r="R97" s="14">
        <f>IF(Q97="","",Q97/11)</f>
        <v>7.0909090909090908</v>
      </c>
      <c r="S97" s="8">
        <f>IF(R97="","",1+COUNTIF($R$2:$R$116,"&gt;"&amp;R97))</f>
        <v>72</v>
      </c>
      <c r="T97" s="8" t="str">
        <f>IF(Table_1er_trimestre_H[[#This Row],[Moyenne]]&gt;=5,"Validé","Non Validé")</f>
        <v>Validé</v>
      </c>
    </row>
    <row r="98" spans="1:20" s="3" customFormat="1" ht="20.25">
      <c r="A98" s="15">
        <v>97</v>
      </c>
      <c r="B98" s="15" t="s">
        <v>99</v>
      </c>
      <c r="C98" s="15" t="s">
        <v>20</v>
      </c>
      <c r="D98" s="18">
        <v>9</v>
      </c>
      <c r="E98" s="18">
        <v>2</v>
      </c>
      <c r="F98" s="16">
        <v>10</v>
      </c>
      <c r="G98" s="16">
        <v>10</v>
      </c>
      <c r="H98" s="16">
        <v>9</v>
      </c>
      <c r="I98" s="16">
        <v>10</v>
      </c>
      <c r="J98" s="16">
        <v>6</v>
      </c>
      <c r="K98" s="16">
        <v>10</v>
      </c>
      <c r="L98" s="16">
        <v>10</v>
      </c>
      <c r="M98" s="16">
        <v>9</v>
      </c>
      <c r="N98" s="16">
        <v>10</v>
      </c>
      <c r="O98" s="16">
        <v>10</v>
      </c>
      <c r="P98" s="16">
        <v>10</v>
      </c>
      <c r="Q98" s="16">
        <f>IF(COUNTA(F98:P98)=0,"",SUM(F98:P98))</f>
        <v>104</v>
      </c>
      <c r="R98" s="17">
        <f>IF(Q98="","",Q98/11)</f>
        <v>9.454545454545455</v>
      </c>
      <c r="S98" s="15">
        <f>IF(R98="","",1+COUNTIF($R$2:$R$116,"&gt;"&amp;R98))</f>
        <v>12</v>
      </c>
      <c r="T98" s="15" t="str">
        <f>IF(Table_1er_trimestre_H[[#This Row],[Moyenne]]&gt;=5,"Validé","Non Validé")</f>
        <v>Validé</v>
      </c>
    </row>
    <row r="99" spans="1:20" ht="20.25">
      <c r="A99" s="8">
        <v>98</v>
      </c>
      <c r="B99" s="8" t="s">
        <v>127</v>
      </c>
      <c r="C99" s="8" t="s">
        <v>18</v>
      </c>
      <c r="D99" s="7">
        <v>8</v>
      </c>
      <c r="E99" s="7">
        <v>2</v>
      </c>
      <c r="F99" s="13">
        <v>5</v>
      </c>
      <c r="G99" s="13">
        <v>6</v>
      </c>
      <c r="H99" s="13">
        <v>8</v>
      </c>
      <c r="I99" s="13">
        <v>7</v>
      </c>
      <c r="J99" s="13">
        <v>6</v>
      </c>
      <c r="K99" s="13">
        <v>6</v>
      </c>
      <c r="L99" s="13">
        <v>1</v>
      </c>
      <c r="M99" s="13">
        <v>6</v>
      </c>
      <c r="N99" s="13">
        <v>10</v>
      </c>
      <c r="O99" s="13">
        <v>5</v>
      </c>
      <c r="P99" s="13">
        <v>6</v>
      </c>
      <c r="Q99" s="13">
        <f>IF(COUNTA(F99:P99)=0,"",SUM(F99:P99))</f>
        <v>66</v>
      </c>
      <c r="R99" s="14">
        <f>IF(Q99="","",Q99/11)</f>
        <v>6</v>
      </c>
      <c r="S99" s="8">
        <f>IF(R99="","",1+COUNTIF($R$2:$R$116,"&gt;"&amp;R99))</f>
        <v>99</v>
      </c>
      <c r="T99" s="8" t="str">
        <f>IF(Table_1er_trimestre_H[[#This Row],[Moyenne]]&gt;=5,"Validé","Non Validé")</f>
        <v>Validé</v>
      </c>
    </row>
    <row r="100" spans="1:20" s="3" customFormat="1" ht="20.25">
      <c r="A100" s="15">
        <v>99</v>
      </c>
      <c r="B100" s="15" t="s">
        <v>100</v>
      </c>
      <c r="C100" s="15" t="s">
        <v>20</v>
      </c>
      <c r="D100" s="18">
        <v>8</v>
      </c>
      <c r="E100" s="18">
        <v>2</v>
      </c>
      <c r="F100" s="16">
        <v>10</v>
      </c>
      <c r="G100" s="16">
        <v>10</v>
      </c>
      <c r="H100" s="16">
        <v>9</v>
      </c>
      <c r="I100" s="16">
        <v>7</v>
      </c>
      <c r="J100" s="16">
        <v>8</v>
      </c>
      <c r="K100" s="16">
        <v>10</v>
      </c>
      <c r="L100" s="16">
        <v>10</v>
      </c>
      <c r="M100" s="16">
        <v>8</v>
      </c>
      <c r="N100" s="16">
        <v>8</v>
      </c>
      <c r="O100" s="16">
        <v>10</v>
      </c>
      <c r="P100" s="16">
        <v>9</v>
      </c>
      <c r="Q100" s="16">
        <f>IF(COUNTA(F100:P100)=0,"",SUM(F100:P100))</f>
        <v>99</v>
      </c>
      <c r="R100" s="17">
        <f>IF(Q100="","",Q100/11)</f>
        <v>9</v>
      </c>
      <c r="S100" s="15">
        <f>IF(R100="","",1+COUNTIF($R$2:$R$116,"&gt;"&amp;R100))</f>
        <v>20</v>
      </c>
      <c r="T100" s="15" t="str">
        <f>IF(Table_1er_trimestre_H[[#This Row],[Moyenne]]&gt;=5,"Validé","Non Validé")</f>
        <v>Validé</v>
      </c>
    </row>
    <row r="101" spans="1:20" ht="40.5">
      <c r="A101" s="8">
        <v>100</v>
      </c>
      <c r="B101" s="8" t="s">
        <v>128</v>
      </c>
      <c r="C101" s="8" t="s">
        <v>18</v>
      </c>
      <c r="D101" s="7">
        <v>8</v>
      </c>
      <c r="E101" s="7">
        <v>2</v>
      </c>
      <c r="F101" s="13">
        <v>3</v>
      </c>
      <c r="G101" s="13">
        <v>5</v>
      </c>
      <c r="H101" s="13">
        <v>5</v>
      </c>
      <c r="I101" s="13">
        <v>5</v>
      </c>
      <c r="J101" s="13">
        <v>6</v>
      </c>
      <c r="K101" s="13">
        <v>5</v>
      </c>
      <c r="L101" s="13">
        <v>0</v>
      </c>
      <c r="M101" s="13">
        <v>4</v>
      </c>
      <c r="N101" s="13">
        <v>6</v>
      </c>
      <c r="O101" s="13">
        <v>5</v>
      </c>
      <c r="P101" s="13">
        <v>5</v>
      </c>
      <c r="Q101" s="13">
        <f>IF(COUNTA(F101:P101)=0,"",SUM(F101:P101))</f>
        <v>49</v>
      </c>
      <c r="R101" s="14">
        <f>IF(Q101="","",Q101/11)</f>
        <v>4.4545454545454541</v>
      </c>
      <c r="S101" s="8">
        <f>IF(R101="","",1+COUNTIF($R$2:$R$116,"&gt;"&amp;R101))</f>
        <v>114</v>
      </c>
      <c r="T101" s="8" t="str">
        <f>IF(Table_1er_trimestre_H[[#This Row],[Moyenne]]&gt;=5,"Validé","Non Validé")</f>
        <v>Non Validé</v>
      </c>
    </row>
    <row r="102" spans="1:20" ht="20.25">
      <c r="A102" s="15">
        <v>101</v>
      </c>
      <c r="B102" s="15" t="s">
        <v>129</v>
      </c>
      <c r="C102" s="15" t="s">
        <v>20</v>
      </c>
      <c r="D102" s="18">
        <v>8</v>
      </c>
      <c r="E102" s="18">
        <v>2</v>
      </c>
      <c r="F102" s="16">
        <v>6</v>
      </c>
      <c r="G102" s="16">
        <v>5</v>
      </c>
      <c r="H102" s="16">
        <v>6</v>
      </c>
      <c r="I102" s="16">
        <v>4</v>
      </c>
      <c r="J102" s="16">
        <v>6</v>
      </c>
      <c r="K102" s="16">
        <v>6</v>
      </c>
      <c r="L102" s="16">
        <v>4</v>
      </c>
      <c r="M102" s="16">
        <v>7</v>
      </c>
      <c r="N102" s="16">
        <v>8</v>
      </c>
      <c r="O102" s="16">
        <v>5</v>
      </c>
      <c r="P102" s="16">
        <v>5</v>
      </c>
      <c r="Q102" s="16">
        <f>IF(COUNTA(F102:P102)=0,"",SUM(F102:P102))</f>
        <v>62</v>
      </c>
      <c r="R102" s="17">
        <f>IF(Q102="","",Q102/11)</f>
        <v>5.6363636363636367</v>
      </c>
      <c r="S102" s="15">
        <f>IF(R102="","",1+COUNTIF($R$2:$R$116,"&gt;"&amp;R102))</f>
        <v>106</v>
      </c>
      <c r="T102" s="15" t="str">
        <f>IF(Table_1er_trimestre_H[[#This Row],[Moyenne]]&gt;=5,"Validé","Non Validé")</f>
        <v>Validé</v>
      </c>
    </row>
    <row r="103" spans="1:20" s="3" customFormat="1" ht="27" customHeight="1">
      <c r="A103" s="15">
        <v>102</v>
      </c>
      <c r="B103" s="15" t="s">
        <v>101</v>
      </c>
      <c r="C103" s="15" t="s">
        <v>20</v>
      </c>
      <c r="D103" s="18">
        <v>8</v>
      </c>
      <c r="E103" s="18">
        <v>2</v>
      </c>
      <c r="F103" s="16">
        <v>10</v>
      </c>
      <c r="G103" s="16">
        <v>8</v>
      </c>
      <c r="H103" s="16">
        <v>8</v>
      </c>
      <c r="I103" s="16">
        <v>7</v>
      </c>
      <c r="J103" s="16">
        <v>7</v>
      </c>
      <c r="K103" s="16">
        <v>4</v>
      </c>
      <c r="L103" s="16">
        <v>2</v>
      </c>
      <c r="M103" s="16">
        <v>5</v>
      </c>
      <c r="N103" s="16">
        <v>3</v>
      </c>
      <c r="O103" s="16">
        <v>10</v>
      </c>
      <c r="P103" s="16">
        <v>7</v>
      </c>
      <c r="Q103" s="16">
        <f>IF(COUNTA(F103:P103)=0,"",SUM(F103:P103))</f>
        <v>71</v>
      </c>
      <c r="R103" s="17">
        <f>IF(Q103="","",Q103/11)</f>
        <v>6.4545454545454541</v>
      </c>
      <c r="S103" s="15">
        <f>IF(R103="","",1+COUNTIF($R$2:$R$116,"&gt;"&amp;R103))</f>
        <v>92</v>
      </c>
      <c r="T103" s="15" t="str">
        <f>IF(Table_1er_trimestre_H[[#This Row],[Moyenne]]&gt;=5,"Validé","Non Validé")</f>
        <v>Validé</v>
      </c>
    </row>
    <row r="104" spans="1:20" ht="40.5">
      <c r="A104" s="15">
        <v>103</v>
      </c>
      <c r="B104" s="15" t="s">
        <v>102</v>
      </c>
      <c r="C104" s="15" t="s">
        <v>20</v>
      </c>
      <c r="D104" s="18">
        <v>8</v>
      </c>
      <c r="E104" s="18">
        <v>2</v>
      </c>
      <c r="F104" s="16">
        <v>10</v>
      </c>
      <c r="G104" s="16">
        <v>10</v>
      </c>
      <c r="H104" s="16">
        <v>9</v>
      </c>
      <c r="I104" s="16">
        <v>10</v>
      </c>
      <c r="J104" s="16">
        <v>8</v>
      </c>
      <c r="K104" s="16">
        <v>10</v>
      </c>
      <c r="L104" s="16">
        <v>8</v>
      </c>
      <c r="M104" s="16">
        <v>7</v>
      </c>
      <c r="N104" s="16">
        <v>9</v>
      </c>
      <c r="O104" s="16">
        <v>10</v>
      </c>
      <c r="P104" s="16">
        <v>10</v>
      </c>
      <c r="Q104" s="16">
        <f>IF(COUNTA(F104:P104)=0,"",SUM(F104:P104))</f>
        <v>101</v>
      </c>
      <c r="R104" s="17">
        <f>IF(Q104="","",Q104/11)</f>
        <v>9.1818181818181817</v>
      </c>
      <c r="S104" s="15">
        <f>IF(R104="","",1+COUNTIF($R$2:$R$116,"&gt;"&amp;R104))</f>
        <v>17</v>
      </c>
      <c r="T104" s="15" t="str">
        <f>IF(Table_1er_trimestre_H[[#This Row],[Moyenne]]&gt;=5,"Validé","Non Validé")</f>
        <v>Validé</v>
      </c>
    </row>
    <row r="105" spans="1:20" ht="20.25">
      <c r="A105" s="15">
        <v>104</v>
      </c>
      <c r="B105" s="15" t="s">
        <v>103</v>
      </c>
      <c r="C105" s="15" t="s">
        <v>20</v>
      </c>
      <c r="D105" s="18">
        <v>8</v>
      </c>
      <c r="E105" s="18">
        <v>2</v>
      </c>
      <c r="F105" s="16">
        <v>9</v>
      </c>
      <c r="G105" s="16">
        <v>10</v>
      </c>
      <c r="H105" s="16">
        <v>8</v>
      </c>
      <c r="I105" s="16">
        <v>10</v>
      </c>
      <c r="J105" s="16">
        <v>6</v>
      </c>
      <c r="K105" s="16">
        <v>9</v>
      </c>
      <c r="L105" s="16">
        <v>3</v>
      </c>
      <c r="M105" s="16">
        <v>8</v>
      </c>
      <c r="N105" s="16">
        <v>8</v>
      </c>
      <c r="O105" s="16">
        <v>10</v>
      </c>
      <c r="P105" s="16">
        <v>8</v>
      </c>
      <c r="Q105" s="16">
        <f>IF(COUNTA(F105:P105)=0,"",SUM(F105:P105))</f>
        <v>89</v>
      </c>
      <c r="R105" s="17">
        <f>IF(Q105="","",Q105/11)</f>
        <v>8.0909090909090917</v>
      </c>
      <c r="S105" s="15">
        <f>IF(R105="","",1+COUNTIF($R$2:$R$116,"&gt;"&amp;R105))</f>
        <v>47</v>
      </c>
      <c r="T105" s="15" t="str">
        <f>IF(Table_1er_trimestre_H[[#This Row],[Moyenne]]&gt;=5,"Validé","Non Validé")</f>
        <v>Validé</v>
      </c>
    </row>
    <row r="106" spans="1:20" s="3" customFormat="1" ht="20.25">
      <c r="A106" s="15">
        <v>105</v>
      </c>
      <c r="B106" s="15" t="s">
        <v>104</v>
      </c>
      <c r="C106" s="15" t="s">
        <v>20</v>
      </c>
      <c r="D106" s="18">
        <v>8</v>
      </c>
      <c r="E106" s="18">
        <v>2</v>
      </c>
      <c r="F106" s="16">
        <v>10</v>
      </c>
      <c r="G106" s="16">
        <v>10</v>
      </c>
      <c r="H106" s="16">
        <v>9</v>
      </c>
      <c r="I106" s="16">
        <v>9</v>
      </c>
      <c r="J106" s="16">
        <v>8</v>
      </c>
      <c r="K106" s="16">
        <v>10</v>
      </c>
      <c r="L106" s="16">
        <v>9</v>
      </c>
      <c r="M106" s="16">
        <v>7</v>
      </c>
      <c r="N106" s="16">
        <v>9</v>
      </c>
      <c r="O106" s="16">
        <v>10</v>
      </c>
      <c r="P106" s="16">
        <v>7</v>
      </c>
      <c r="Q106" s="16">
        <f>IF(COUNTA(F106:P106)=0,"",SUM(F106:P106))</f>
        <v>98</v>
      </c>
      <c r="R106" s="17">
        <f>IF(Q106="","",Q106/11)</f>
        <v>8.9090909090909083</v>
      </c>
      <c r="S106" s="15">
        <f>IF(R106="","",1+COUNTIF($R$2:$R$116,"&gt;"&amp;R106))</f>
        <v>23</v>
      </c>
      <c r="T106" s="15" t="str">
        <f>IF(Table_1er_trimestre_H[[#This Row],[Moyenne]]&gt;=5,"Validé","Non Validé")</f>
        <v>Validé</v>
      </c>
    </row>
    <row r="107" spans="1:20" ht="24.75" customHeight="1">
      <c r="A107" s="8">
        <v>106</v>
      </c>
      <c r="B107" s="8" t="s">
        <v>105</v>
      </c>
      <c r="C107" s="8" t="s">
        <v>18</v>
      </c>
      <c r="D107" s="7">
        <v>8</v>
      </c>
      <c r="E107" s="7">
        <v>2</v>
      </c>
      <c r="F107" s="13">
        <v>9</v>
      </c>
      <c r="G107" s="13">
        <v>6</v>
      </c>
      <c r="H107" s="13">
        <v>8</v>
      </c>
      <c r="I107" s="13">
        <v>10</v>
      </c>
      <c r="J107" s="13">
        <v>7</v>
      </c>
      <c r="K107" s="13">
        <v>10</v>
      </c>
      <c r="L107" s="13">
        <v>8</v>
      </c>
      <c r="M107" s="13">
        <v>9</v>
      </c>
      <c r="N107" s="13">
        <v>8</v>
      </c>
      <c r="O107" s="13">
        <v>10</v>
      </c>
      <c r="P107" s="13">
        <v>9</v>
      </c>
      <c r="Q107" s="13">
        <f>IF(COUNTA(F107:P107)=0,"",SUM(F107:P107))</f>
        <v>94</v>
      </c>
      <c r="R107" s="14">
        <f>IF(Q107="","",Q107/11)</f>
        <v>8.545454545454545</v>
      </c>
      <c r="S107" s="8">
        <f>IF(R107="","",1+COUNTIF($R$2:$R$116,"&gt;"&amp;R107))</f>
        <v>31</v>
      </c>
      <c r="T107" s="8" t="str">
        <f>IF(Table_1er_trimestre_H[[#This Row],[Moyenne]]&gt;=5,"Validé","Non Validé")</f>
        <v>Validé</v>
      </c>
    </row>
    <row r="108" spans="1:20" ht="20.25">
      <c r="A108" s="8">
        <v>107</v>
      </c>
      <c r="B108" s="8" t="s">
        <v>106</v>
      </c>
      <c r="C108" s="8" t="s">
        <v>18</v>
      </c>
      <c r="D108" s="7">
        <v>8</v>
      </c>
      <c r="E108" s="7">
        <v>2</v>
      </c>
      <c r="F108" s="13">
        <v>10</v>
      </c>
      <c r="G108" s="13">
        <v>8</v>
      </c>
      <c r="H108" s="13">
        <v>8</v>
      </c>
      <c r="I108" s="13">
        <v>4</v>
      </c>
      <c r="J108" s="13">
        <v>6</v>
      </c>
      <c r="K108" s="13">
        <v>7</v>
      </c>
      <c r="L108" s="13">
        <v>0</v>
      </c>
      <c r="M108" s="13">
        <v>6</v>
      </c>
      <c r="N108" s="13">
        <v>7</v>
      </c>
      <c r="O108" s="13">
        <v>10</v>
      </c>
      <c r="P108" s="13">
        <v>8</v>
      </c>
      <c r="Q108" s="13">
        <f>IF(COUNTA(F108:P108)=0,"",SUM(F108:P108))</f>
        <v>74</v>
      </c>
      <c r="R108" s="14">
        <f>IF(Q108="","",Q108/11)</f>
        <v>6.7272727272727275</v>
      </c>
      <c r="S108" s="8">
        <f>IF(R108="","",1+COUNTIF($R$2:$R$116,"&gt;"&amp;R108))</f>
        <v>88</v>
      </c>
      <c r="T108" s="8" t="str">
        <f>IF(Table_1er_trimestre_H[[#This Row],[Moyenne]]&gt;=5,"Validé","Non Validé")</f>
        <v>Validé</v>
      </c>
    </row>
    <row r="109" spans="1:20" s="3" customFormat="1" ht="20.25">
      <c r="A109" s="8">
        <v>108</v>
      </c>
      <c r="B109" s="8" t="s">
        <v>107</v>
      </c>
      <c r="C109" s="8" t="s">
        <v>18</v>
      </c>
      <c r="D109" s="7">
        <v>8</v>
      </c>
      <c r="E109" s="7">
        <v>2</v>
      </c>
      <c r="F109" s="13">
        <v>8</v>
      </c>
      <c r="G109" s="13">
        <v>6</v>
      </c>
      <c r="H109" s="13">
        <v>9</v>
      </c>
      <c r="I109" s="13">
        <v>10</v>
      </c>
      <c r="J109" s="13">
        <v>9</v>
      </c>
      <c r="K109" s="13">
        <v>9</v>
      </c>
      <c r="L109" s="13">
        <v>9</v>
      </c>
      <c r="M109" s="13">
        <v>8</v>
      </c>
      <c r="N109" s="13">
        <v>7</v>
      </c>
      <c r="O109" s="13">
        <v>10</v>
      </c>
      <c r="P109" s="13">
        <v>8</v>
      </c>
      <c r="Q109" s="13">
        <f>IF(COUNTA(F109:P109)=0,"",SUM(F109:P109))</f>
        <v>93</v>
      </c>
      <c r="R109" s="14">
        <f>IF(Q109="","",Q109/11)</f>
        <v>8.454545454545455</v>
      </c>
      <c r="S109" s="8">
        <f>IF(R109="","",1+COUNTIF($R$2:$R$116,"&gt;"&amp;R109))</f>
        <v>34</v>
      </c>
      <c r="T109" s="8" t="str">
        <f>IF(Table_1er_trimestre_H[[#This Row],[Moyenne]]&gt;=5,"Validé","Non Validé")</f>
        <v>Validé</v>
      </c>
    </row>
    <row r="110" spans="1:20" ht="20.25">
      <c r="A110" s="8">
        <v>109</v>
      </c>
      <c r="B110" s="8" t="s">
        <v>130</v>
      </c>
      <c r="C110" s="8" t="s">
        <v>18</v>
      </c>
      <c r="D110" s="7">
        <v>8</v>
      </c>
      <c r="E110" s="7">
        <v>2</v>
      </c>
      <c r="F110" s="13">
        <v>4</v>
      </c>
      <c r="G110" s="13">
        <v>5</v>
      </c>
      <c r="H110" s="13">
        <v>7</v>
      </c>
      <c r="I110" s="13">
        <v>4</v>
      </c>
      <c r="J110" s="13">
        <v>8</v>
      </c>
      <c r="K110" s="13">
        <v>7</v>
      </c>
      <c r="L110" s="13">
        <v>2</v>
      </c>
      <c r="M110" s="13">
        <v>5</v>
      </c>
      <c r="N110" s="13">
        <v>8</v>
      </c>
      <c r="O110" s="13">
        <v>5</v>
      </c>
      <c r="P110" s="13">
        <v>5</v>
      </c>
      <c r="Q110" s="13">
        <f>IF(COUNTA(F110:P110)=0,"",SUM(F110:P110))</f>
        <v>60</v>
      </c>
      <c r="R110" s="14">
        <f>IF(Q110="","",Q110/11)</f>
        <v>5.4545454545454541</v>
      </c>
      <c r="S110" s="8">
        <f>IF(R110="","",1+COUNTIF($R$2:$R$116,"&gt;"&amp;R110))</f>
        <v>109</v>
      </c>
      <c r="T110" s="8" t="str">
        <f>IF(Table_1er_trimestre_H[[#This Row],[Moyenne]]&gt;=5,"Validé","Non Validé")</f>
        <v>Validé</v>
      </c>
    </row>
    <row r="111" spans="1:20" s="3" customFormat="1" ht="23.25" customHeight="1">
      <c r="A111" s="8">
        <v>110</v>
      </c>
      <c r="B111" s="8" t="s">
        <v>108</v>
      </c>
      <c r="C111" s="8" t="s">
        <v>18</v>
      </c>
      <c r="D111" s="7">
        <v>8</v>
      </c>
      <c r="E111" s="7">
        <v>2</v>
      </c>
      <c r="F111" s="13">
        <v>8</v>
      </c>
      <c r="G111" s="13">
        <v>6</v>
      </c>
      <c r="H111" s="13">
        <v>8</v>
      </c>
      <c r="I111" s="13">
        <v>3</v>
      </c>
      <c r="J111" s="13">
        <v>6</v>
      </c>
      <c r="K111" s="13">
        <v>8</v>
      </c>
      <c r="L111" s="13">
        <v>0</v>
      </c>
      <c r="M111" s="13">
        <v>8</v>
      </c>
      <c r="N111" s="13">
        <v>0</v>
      </c>
      <c r="O111" s="13">
        <v>10</v>
      </c>
      <c r="P111" s="13">
        <v>4</v>
      </c>
      <c r="Q111" s="13">
        <f>IF(COUNTA(F111:P111)=0,"",SUM(F111:P111))</f>
        <v>61</v>
      </c>
      <c r="R111" s="14">
        <f>IF(Q111="","",Q111/11)</f>
        <v>5.5454545454545459</v>
      </c>
      <c r="S111" s="8">
        <f>IF(R111="","",1+COUNTIF($R$2:$R$116,"&gt;"&amp;R111))</f>
        <v>107</v>
      </c>
      <c r="T111" s="8" t="str">
        <f>IF(Table_1er_trimestre_H[[#This Row],[Moyenne]]&gt;=5,"Validé","Non Validé")</f>
        <v>Validé</v>
      </c>
    </row>
    <row r="112" spans="1:20" ht="23.25" customHeight="1">
      <c r="A112" s="8">
        <v>111</v>
      </c>
      <c r="B112" s="8" t="s">
        <v>109</v>
      </c>
      <c r="C112" s="8" t="s">
        <v>18</v>
      </c>
      <c r="D112" s="7">
        <v>8</v>
      </c>
      <c r="E112" s="7">
        <v>2</v>
      </c>
      <c r="F112" s="13">
        <v>5</v>
      </c>
      <c r="G112" s="13">
        <v>7</v>
      </c>
      <c r="H112" s="13">
        <v>7</v>
      </c>
      <c r="I112" s="13">
        <v>6</v>
      </c>
      <c r="J112" s="13">
        <v>6</v>
      </c>
      <c r="K112" s="13">
        <v>8</v>
      </c>
      <c r="L112" s="13">
        <v>4</v>
      </c>
      <c r="M112" s="13">
        <v>7</v>
      </c>
      <c r="N112" s="13">
        <v>8</v>
      </c>
      <c r="O112" s="13">
        <v>5</v>
      </c>
      <c r="P112" s="13">
        <v>5</v>
      </c>
      <c r="Q112" s="13">
        <f>IF(COUNTA(F112:P112)=0,"",SUM(F112:P112))</f>
        <v>68</v>
      </c>
      <c r="R112" s="14">
        <f>IF(Q112="","",Q112/11)</f>
        <v>6.1818181818181817</v>
      </c>
      <c r="S112" s="8">
        <f>IF(R112="","",1+COUNTIF($R$2:$R$116,"&gt;"&amp;R112))</f>
        <v>97</v>
      </c>
      <c r="T112" s="8" t="str">
        <f>IF(Table_1er_trimestre_H[[#This Row],[Moyenne]]&gt;=5,"Validé","Non Validé")</f>
        <v>Validé</v>
      </c>
    </row>
    <row r="113" spans="1:20" s="3" customFormat="1" ht="20.25">
      <c r="A113" s="15">
        <v>112</v>
      </c>
      <c r="B113" s="15" t="s">
        <v>131</v>
      </c>
      <c r="C113" s="15" t="s">
        <v>20</v>
      </c>
      <c r="D113" s="18">
        <v>8</v>
      </c>
      <c r="E113" s="18">
        <v>2</v>
      </c>
      <c r="F113" s="16">
        <v>8</v>
      </c>
      <c r="G113" s="16">
        <v>8</v>
      </c>
      <c r="H113" s="16">
        <v>9</v>
      </c>
      <c r="I113" s="16">
        <v>8</v>
      </c>
      <c r="J113" s="16">
        <v>8</v>
      </c>
      <c r="K113" s="16">
        <v>10</v>
      </c>
      <c r="L113" s="16">
        <v>9</v>
      </c>
      <c r="M113" s="16">
        <v>6</v>
      </c>
      <c r="N113" s="16">
        <v>10</v>
      </c>
      <c r="O113" s="16">
        <v>7</v>
      </c>
      <c r="P113" s="16">
        <v>7</v>
      </c>
      <c r="Q113" s="16">
        <f>IF(COUNTA(F113:P113)=0,"",SUM(F113:P113))</f>
        <v>90</v>
      </c>
      <c r="R113" s="17">
        <f>IF(Q113="","",Q113/11)</f>
        <v>8.1818181818181817</v>
      </c>
      <c r="S113" s="15">
        <f>IF(R113="","",1+COUNTIF($R$2:$R$116,"&gt;"&amp;R113))</f>
        <v>43</v>
      </c>
      <c r="T113" s="15" t="str">
        <f>IF(Table_1er_trimestre_H[[#This Row],[Moyenne]]&gt;=5,"Validé","Non Validé")</f>
        <v>Validé</v>
      </c>
    </row>
    <row r="114" spans="1:20" ht="20.25">
      <c r="A114" s="8">
        <v>113</v>
      </c>
      <c r="B114" s="8" t="s">
        <v>110</v>
      </c>
      <c r="C114" s="8" t="s">
        <v>18</v>
      </c>
      <c r="D114" s="7">
        <v>8</v>
      </c>
      <c r="E114" s="7">
        <v>2</v>
      </c>
      <c r="F114" s="13">
        <v>10</v>
      </c>
      <c r="G114" s="13">
        <v>8</v>
      </c>
      <c r="H114" s="13">
        <v>8</v>
      </c>
      <c r="I114" s="13">
        <v>10</v>
      </c>
      <c r="J114" s="13">
        <v>6</v>
      </c>
      <c r="K114" s="13">
        <v>9</v>
      </c>
      <c r="L114" s="13">
        <v>6</v>
      </c>
      <c r="M114" s="13">
        <v>8</v>
      </c>
      <c r="N114" s="13">
        <v>7</v>
      </c>
      <c r="O114" s="13">
        <v>10</v>
      </c>
      <c r="P114" s="13">
        <v>8</v>
      </c>
      <c r="Q114" s="13">
        <f>IF(COUNTA(F114:P114)=0,"",SUM(F114:P114))</f>
        <v>90</v>
      </c>
      <c r="R114" s="14">
        <f>IF(Q114="","",Q114/11)</f>
        <v>8.1818181818181817</v>
      </c>
      <c r="S114" s="8">
        <f>IF(R114="","",1+COUNTIF($R$2:$R$116,"&gt;"&amp;R114))</f>
        <v>43</v>
      </c>
      <c r="T114" s="8" t="str">
        <f>IF(Table_1er_trimestre_H[[#This Row],[Moyenne]]&gt;=5,"Validé","Non Validé")</f>
        <v>Validé</v>
      </c>
    </row>
    <row r="115" spans="1:20" s="3" customFormat="1" ht="20.25">
      <c r="A115" s="15">
        <v>114</v>
      </c>
      <c r="B115" s="15" t="s">
        <v>111</v>
      </c>
      <c r="C115" s="15" t="s">
        <v>20</v>
      </c>
      <c r="D115" s="18">
        <v>8</v>
      </c>
      <c r="E115" s="18">
        <v>2</v>
      </c>
      <c r="F115" s="16">
        <v>10</v>
      </c>
      <c r="G115" s="16">
        <v>10</v>
      </c>
      <c r="H115" s="16">
        <v>9</v>
      </c>
      <c r="I115" s="16">
        <v>10</v>
      </c>
      <c r="J115" s="16">
        <v>9</v>
      </c>
      <c r="K115" s="16">
        <v>10</v>
      </c>
      <c r="L115" s="16">
        <v>9</v>
      </c>
      <c r="M115" s="16">
        <v>8</v>
      </c>
      <c r="N115" s="16">
        <v>10</v>
      </c>
      <c r="O115" s="16">
        <v>10</v>
      </c>
      <c r="P115" s="16">
        <v>10</v>
      </c>
      <c r="Q115" s="16">
        <f>IF(COUNTA(F115:P115)=0,"",SUM(F115:P115))</f>
        <v>105</v>
      </c>
      <c r="R115" s="17">
        <f>IF(Q115="","",Q115/11)</f>
        <v>9.545454545454545</v>
      </c>
      <c r="S115" s="15">
        <f>IF(R115="","",1+COUNTIF($R$2:$R$116,"&gt;"&amp;R115))</f>
        <v>10</v>
      </c>
      <c r="T115" s="15" t="str">
        <f>IF(Table_1er_trimestre_H[[#This Row],[Moyenne]]&gt;=5,"Validé","Non Validé")</f>
        <v>Validé</v>
      </c>
    </row>
    <row r="116" spans="1:20" ht="20.25">
      <c r="A116" s="8">
        <v>115</v>
      </c>
      <c r="B116" s="8" t="s">
        <v>112</v>
      </c>
      <c r="C116" s="8" t="s">
        <v>18</v>
      </c>
      <c r="D116" s="7">
        <v>8</v>
      </c>
      <c r="E116" s="7">
        <v>2</v>
      </c>
      <c r="F116" s="13">
        <v>8</v>
      </c>
      <c r="G116" s="13">
        <v>8</v>
      </c>
      <c r="H116" s="13">
        <v>8</v>
      </c>
      <c r="I116" s="13">
        <v>7</v>
      </c>
      <c r="J116" s="13">
        <v>6</v>
      </c>
      <c r="K116" s="13">
        <v>10</v>
      </c>
      <c r="L116" s="13">
        <v>4</v>
      </c>
      <c r="M116" s="13">
        <v>8</v>
      </c>
      <c r="N116" s="13">
        <v>9</v>
      </c>
      <c r="O116" s="13">
        <v>10</v>
      </c>
      <c r="P116" s="13">
        <v>10</v>
      </c>
      <c r="Q116" s="13">
        <f>IF(COUNTA(F116:P116)=0,"",SUM(F116:P116))</f>
        <v>88</v>
      </c>
      <c r="R116" s="14">
        <f>IF(Q116="","",Q116/11)</f>
        <v>8</v>
      </c>
      <c r="S116" s="8">
        <f>IF(R116="","",1+COUNTIF($R$2:$R$116,"&gt;"&amp;R116))</f>
        <v>48</v>
      </c>
      <c r="T116" s="8" t="str">
        <f>IF(Table_1er_trimestre_H[[#This Row],[Moyenne]]&gt;=5,"Validé","Non Validé")</f>
        <v>Validé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6"/>
  <sheetViews>
    <sheetView workbookViewId="0">
      <selection activeCell="B7" sqref="B7"/>
    </sheetView>
  </sheetViews>
  <sheetFormatPr baseColWidth="10" defaultColWidth="9" defaultRowHeight="14.25"/>
  <cols>
    <col min="1" max="1" width="6" customWidth="1"/>
    <col min="2" max="2" width="41.5" customWidth="1"/>
    <col min="3" max="5" width="8" customWidth="1"/>
    <col min="6" max="6" width="13.75" customWidth="1"/>
    <col min="7" max="7" width="14.5" customWidth="1"/>
    <col min="8" max="19" width="10" customWidth="1"/>
    <col min="20" max="20" width="16" customWidth="1"/>
  </cols>
  <sheetData>
    <row r="1" spans="1:20" ht="36" customHeight="1">
      <c r="A1" s="1" t="s">
        <v>0</v>
      </c>
      <c r="B1" s="1" t="s">
        <v>1</v>
      </c>
      <c r="C1" s="1" t="s">
        <v>2</v>
      </c>
      <c r="D1" s="1" t="s">
        <v>135</v>
      </c>
      <c r="E1" s="1" t="s">
        <v>136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0" s="11" customFormat="1" ht="20.25">
      <c r="A2" s="8">
        <v>1</v>
      </c>
      <c r="B2" s="8" t="s">
        <v>132</v>
      </c>
      <c r="C2" s="8" t="s">
        <v>18</v>
      </c>
      <c r="D2" s="7">
        <v>9</v>
      </c>
      <c r="E2" s="7">
        <v>2</v>
      </c>
      <c r="F2" s="13">
        <v>10</v>
      </c>
      <c r="G2" s="13">
        <v>9</v>
      </c>
      <c r="H2" s="13">
        <v>9</v>
      </c>
      <c r="I2" s="13">
        <v>9</v>
      </c>
      <c r="J2" s="13">
        <v>9</v>
      </c>
      <c r="K2" s="13">
        <v>10</v>
      </c>
      <c r="L2" s="13">
        <v>3</v>
      </c>
      <c r="M2" s="13">
        <v>9</v>
      </c>
      <c r="N2" s="13">
        <v>5</v>
      </c>
      <c r="O2" s="13">
        <v>10</v>
      </c>
      <c r="P2" s="13">
        <v>10</v>
      </c>
      <c r="Q2" s="13">
        <f>IF(COUNTA(F2:P2)=0,"",SUM(F2:P2))</f>
        <v>93</v>
      </c>
      <c r="R2" s="14">
        <f>IF(Q2="","",Q2/11)</f>
        <v>8.454545454545455</v>
      </c>
      <c r="S2" s="8">
        <f>IF(R2="","",1+COUNTIF($R$2:$R$116,"&gt;"&amp;R2))</f>
        <v>12</v>
      </c>
      <c r="T2" s="8" t="str">
        <f>IF(Table_2e_trimestre_H[[#This Row],[Moyenne]]&gt;=5,"Validé","Non Validé")</f>
        <v>Validé</v>
      </c>
    </row>
    <row r="3" spans="1:20" s="12" customFormat="1" ht="20.25">
      <c r="A3" s="15">
        <v>2</v>
      </c>
      <c r="B3" s="15" t="s">
        <v>19</v>
      </c>
      <c r="C3" s="15" t="s">
        <v>20</v>
      </c>
      <c r="D3" s="18">
        <v>8</v>
      </c>
      <c r="E3" s="18">
        <v>2</v>
      </c>
      <c r="F3" s="16">
        <v>7</v>
      </c>
      <c r="G3" s="16">
        <v>8</v>
      </c>
      <c r="H3" s="16">
        <v>9</v>
      </c>
      <c r="I3" s="16">
        <v>9</v>
      </c>
      <c r="J3" s="16">
        <v>8</v>
      </c>
      <c r="K3" s="16">
        <v>9</v>
      </c>
      <c r="L3" s="16">
        <v>8</v>
      </c>
      <c r="M3" s="16">
        <v>5</v>
      </c>
      <c r="N3" s="16">
        <v>2</v>
      </c>
      <c r="O3" s="16">
        <v>9</v>
      </c>
      <c r="P3" s="16">
        <v>8</v>
      </c>
      <c r="Q3" s="16">
        <f>IF(COUNTA(F3:P3)=0,"",SUM(F3:P3))</f>
        <v>82</v>
      </c>
      <c r="R3" s="17">
        <f>IF(Q3="","",Q3/11)</f>
        <v>7.4545454545454541</v>
      </c>
      <c r="S3" s="15">
        <f>IF(R3="","",1+COUNTIF($R$2:$R$116,"&gt;"&amp;R3))</f>
        <v>27</v>
      </c>
      <c r="T3" s="15" t="str">
        <f>IF(Table_2e_trimestre_H[[#This Row],[Moyenne]]&gt;=5,"Validé","Non Validé")</f>
        <v>Validé</v>
      </c>
    </row>
    <row r="4" spans="1:20" s="12" customFormat="1" ht="20.25">
      <c r="A4" s="15">
        <v>3</v>
      </c>
      <c r="B4" s="15" t="s">
        <v>21</v>
      </c>
      <c r="C4" s="15" t="s">
        <v>20</v>
      </c>
      <c r="D4" s="18">
        <v>8</v>
      </c>
      <c r="E4" s="18">
        <v>2</v>
      </c>
      <c r="F4" s="16">
        <v>2</v>
      </c>
      <c r="G4" s="16">
        <v>7</v>
      </c>
      <c r="H4" s="16">
        <v>8</v>
      </c>
      <c r="I4" s="16">
        <v>8</v>
      </c>
      <c r="J4" s="16">
        <v>9</v>
      </c>
      <c r="K4" s="16">
        <v>9</v>
      </c>
      <c r="L4" s="16">
        <v>1</v>
      </c>
      <c r="M4" s="16">
        <v>6</v>
      </c>
      <c r="N4" s="16">
        <v>5</v>
      </c>
      <c r="O4" s="16">
        <v>9</v>
      </c>
      <c r="P4" s="16">
        <v>4</v>
      </c>
      <c r="Q4" s="16">
        <f>IF(COUNTA(F4:P4)=0,"",SUM(F4:P4))</f>
        <v>68</v>
      </c>
      <c r="R4" s="17">
        <f>IF(Q4="","",Q4/11)</f>
        <v>6.1818181818181817</v>
      </c>
      <c r="S4" s="15">
        <f>IF(R4="","",1+COUNTIF($R$2:$R$116,"&gt;"&amp;R4))</f>
        <v>69</v>
      </c>
      <c r="T4" s="15" t="str">
        <f>IF(Table_2e_trimestre_H[[#This Row],[Moyenne]]&gt;=5,"Validé","Non Validé")</f>
        <v>Validé</v>
      </c>
    </row>
    <row r="5" spans="1:20" s="11" customFormat="1" ht="20.25">
      <c r="A5" s="8">
        <v>4</v>
      </c>
      <c r="B5" s="8" t="s">
        <v>22</v>
      </c>
      <c r="C5" s="8" t="s">
        <v>18</v>
      </c>
      <c r="D5" s="7">
        <v>8</v>
      </c>
      <c r="E5" s="7">
        <v>2</v>
      </c>
      <c r="F5" s="13">
        <v>8</v>
      </c>
      <c r="G5" s="13">
        <v>7</v>
      </c>
      <c r="H5" s="13">
        <v>7</v>
      </c>
      <c r="I5" s="13">
        <v>10</v>
      </c>
      <c r="J5" s="13">
        <v>8</v>
      </c>
      <c r="K5" s="13">
        <v>9</v>
      </c>
      <c r="L5" s="13">
        <v>8</v>
      </c>
      <c r="M5" s="13">
        <v>7</v>
      </c>
      <c r="N5" s="13">
        <v>9</v>
      </c>
      <c r="O5" s="13">
        <v>8</v>
      </c>
      <c r="P5" s="13">
        <v>10</v>
      </c>
      <c r="Q5" s="13">
        <f>IF(COUNTA(F5:P5)=0,"",SUM(F5:P5))</f>
        <v>91</v>
      </c>
      <c r="R5" s="14">
        <f>IF(Q5="","",Q5/11)</f>
        <v>8.2727272727272734</v>
      </c>
      <c r="S5" s="8">
        <f>IF(R5="","",1+COUNTIF($R$2:$R$116,"&gt;"&amp;R5))</f>
        <v>17</v>
      </c>
      <c r="T5" s="8" t="str">
        <f>IF(Table_2e_trimestre_H[[#This Row],[Moyenne]]&gt;=5,"Validé","Non Validé")</f>
        <v>Validé</v>
      </c>
    </row>
    <row r="6" spans="1:20" s="12" customFormat="1" ht="20.25">
      <c r="A6" s="15">
        <v>5</v>
      </c>
      <c r="B6" s="15" t="s">
        <v>23</v>
      </c>
      <c r="C6" s="15" t="s">
        <v>20</v>
      </c>
      <c r="D6" s="18">
        <v>8</v>
      </c>
      <c r="E6" s="18">
        <v>2</v>
      </c>
      <c r="F6" s="16">
        <v>4</v>
      </c>
      <c r="G6" s="16">
        <v>5</v>
      </c>
      <c r="H6" s="16">
        <v>9</v>
      </c>
      <c r="I6" s="16">
        <v>6</v>
      </c>
      <c r="J6" s="16">
        <v>6</v>
      </c>
      <c r="K6" s="16">
        <v>7</v>
      </c>
      <c r="L6" s="16">
        <v>3</v>
      </c>
      <c r="M6" s="16">
        <v>5</v>
      </c>
      <c r="N6" s="16">
        <v>3</v>
      </c>
      <c r="O6" s="16">
        <v>8</v>
      </c>
      <c r="P6" s="16">
        <v>10</v>
      </c>
      <c r="Q6" s="16">
        <f>IF(COUNTA(F6:P6)=0,"",SUM(F6:P6))</f>
        <v>66</v>
      </c>
      <c r="R6" s="17">
        <f>IF(Q6="","",Q6/11)</f>
        <v>6</v>
      </c>
      <c r="S6" s="15">
        <f>IF(R6="","",1+COUNTIF($R$2:$R$116,"&gt;"&amp;R6))</f>
        <v>75</v>
      </c>
      <c r="T6" s="15" t="str">
        <f>IF(Table_2e_trimestre_H[[#This Row],[Moyenne]]&gt;=5,"Validé","Non Validé")</f>
        <v>Validé</v>
      </c>
    </row>
    <row r="7" spans="1:20" s="11" customFormat="1" ht="20.25">
      <c r="A7" s="8">
        <v>6</v>
      </c>
      <c r="B7" s="8" t="s">
        <v>24</v>
      </c>
      <c r="C7" s="8" t="s">
        <v>18</v>
      </c>
      <c r="D7" s="7">
        <v>8</v>
      </c>
      <c r="E7" s="7">
        <v>2</v>
      </c>
      <c r="F7" s="13">
        <v>8</v>
      </c>
      <c r="G7" s="13">
        <v>6</v>
      </c>
      <c r="H7" s="13">
        <v>8</v>
      </c>
      <c r="I7" s="13">
        <v>7</v>
      </c>
      <c r="J7" s="13">
        <v>6</v>
      </c>
      <c r="K7" s="13">
        <v>7</v>
      </c>
      <c r="L7" s="13">
        <v>4</v>
      </c>
      <c r="M7" s="13">
        <v>6</v>
      </c>
      <c r="N7" s="13">
        <v>5</v>
      </c>
      <c r="O7" s="13">
        <v>8</v>
      </c>
      <c r="P7" s="13">
        <v>8</v>
      </c>
      <c r="Q7" s="13">
        <f>IF(COUNTA(F7:P7)=0,"",SUM(F7:P7))</f>
        <v>73</v>
      </c>
      <c r="R7" s="14">
        <f>IF(Q7="","",Q7/11)</f>
        <v>6.6363636363636367</v>
      </c>
      <c r="S7" s="8">
        <f>IF(R7="","",1+COUNTIF($R$2:$R$116,"&gt;"&amp;R7))</f>
        <v>57</v>
      </c>
      <c r="T7" s="8" t="str">
        <f>IF(Table_2e_trimestre_H[[#This Row],[Moyenne]]&gt;=5,"Validé","Non Validé")</f>
        <v>Validé</v>
      </c>
    </row>
    <row r="8" spans="1:20" s="12" customFormat="1" ht="20.25">
      <c r="A8" s="15">
        <v>7</v>
      </c>
      <c r="B8" s="15" t="s">
        <v>25</v>
      </c>
      <c r="C8" s="15" t="s">
        <v>20</v>
      </c>
      <c r="D8" s="18">
        <v>8</v>
      </c>
      <c r="E8" s="18">
        <v>2</v>
      </c>
      <c r="F8" s="16">
        <v>4</v>
      </c>
      <c r="G8" s="16">
        <v>5</v>
      </c>
      <c r="H8" s="16">
        <v>8</v>
      </c>
      <c r="I8" s="16">
        <v>6</v>
      </c>
      <c r="J8" s="16">
        <v>4</v>
      </c>
      <c r="K8" s="16">
        <v>2</v>
      </c>
      <c r="L8" s="16">
        <v>0</v>
      </c>
      <c r="M8" s="16">
        <v>3</v>
      </c>
      <c r="N8" s="16">
        <v>1</v>
      </c>
      <c r="O8" s="16">
        <v>7</v>
      </c>
      <c r="P8" s="16">
        <v>6</v>
      </c>
      <c r="Q8" s="16">
        <f>IF(COUNTA(F8:P8)=0,"",SUM(F8:P8))</f>
        <v>46</v>
      </c>
      <c r="R8" s="17">
        <f>IF(Q8="","",Q8/11)</f>
        <v>4.1818181818181817</v>
      </c>
      <c r="S8" s="15">
        <f>IF(R8="","",1+COUNTIF($R$2:$R$116,"&gt;"&amp;R8))</f>
        <v>112</v>
      </c>
      <c r="T8" s="15" t="str">
        <f>IF(Table_2e_trimestre_H[[#This Row],[Moyenne]]&gt;=5,"Validé","Non Validé")</f>
        <v>Non Validé</v>
      </c>
    </row>
    <row r="9" spans="1:20" s="12" customFormat="1" ht="20.25">
      <c r="A9" s="15">
        <v>8</v>
      </c>
      <c r="B9" s="15" t="s">
        <v>26</v>
      </c>
      <c r="C9" s="15" t="s">
        <v>20</v>
      </c>
      <c r="D9" s="18">
        <v>8</v>
      </c>
      <c r="E9" s="18">
        <v>2</v>
      </c>
      <c r="F9" s="16">
        <v>7</v>
      </c>
      <c r="G9" s="16">
        <v>7</v>
      </c>
      <c r="H9" s="16">
        <v>9</v>
      </c>
      <c r="I9" s="16">
        <v>10</v>
      </c>
      <c r="J9" s="16">
        <v>9</v>
      </c>
      <c r="K9" s="16">
        <v>10</v>
      </c>
      <c r="L9" s="16">
        <v>0</v>
      </c>
      <c r="M9" s="16">
        <v>8</v>
      </c>
      <c r="N9" s="16">
        <v>6</v>
      </c>
      <c r="O9" s="16">
        <v>7</v>
      </c>
      <c r="P9" s="16">
        <v>8</v>
      </c>
      <c r="Q9" s="16">
        <f>IF(COUNTA(F9:P9)=0,"",SUM(F9:P9))</f>
        <v>81</v>
      </c>
      <c r="R9" s="17">
        <f>IF(Q9="","",Q9/11)</f>
        <v>7.3636363636363633</v>
      </c>
      <c r="S9" s="15">
        <f>IF(R9="","",1+COUNTIF($R$2:$R$116,"&gt;"&amp;R9))</f>
        <v>33</v>
      </c>
      <c r="T9" s="15" t="str">
        <f>IF(Table_2e_trimestre_H[[#This Row],[Moyenne]]&gt;=5,"Validé","Non Validé")</f>
        <v>Validé</v>
      </c>
    </row>
    <row r="10" spans="1:20" s="11" customFormat="1" ht="20.25">
      <c r="A10" s="8">
        <v>9</v>
      </c>
      <c r="B10" s="8" t="s">
        <v>27</v>
      </c>
      <c r="C10" s="8" t="s">
        <v>18</v>
      </c>
      <c r="D10" s="7">
        <v>8</v>
      </c>
      <c r="E10" s="7">
        <v>2</v>
      </c>
      <c r="F10" s="13">
        <v>9</v>
      </c>
      <c r="G10" s="13">
        <v>6</v>
      </c>
      <c r="H10" s="13">
        <v>8</v>
      </c>
      <c r="I10" s="13">
        <v>4</v>
      </c>
      <c r="J10" s="13">
        <v>8</v>
      </c>
      <c r="K10" s="13">
        <v>10</v>
      </c>
      <c r="L10" s="13">
        <v>0</v>
      </c>
      <c r="M10" s="13">
        <v>6</v>
      </c>
      <c r="N10" s="13">
        <v>2</v>
      </c>
      <c r="O10" s="13">
        <v>7</v>
      </c>
      <c r="P10" s="13">
        <v>8</v>
      </c>
      <c r="Q10" s="13">
        <f>IF(COUNTA(F10:P10)=0,"",SUM(F10:P10))</f>
        <v>68</v>
      </c>
      <c r="R10" s="14">
        <f>IF(Q10="","",Q10/11)</f>
        <v>6.1818181818181817</v>
      </c>
      <c r="S10" s="8">
        <f>IF(R10="","",1+COUNTIF($R$2:$R$116,"&gt;"&amp;R10))</f>
        <v>69</v>
      </c>
      <c r="T10" s="8" t="str">
        <f>IF(Table_2e_trimestre_H[[#This Row],[Moyenne]]&gt;=5,"Validé","Non Validé")</f>
        <v>Validé</v>
      </c>
    </row>
    <row r="11" spans="1:20" s="11" customFormat="1" ht="20.25">
      <c r="A11" s="8">
        <v>10</v>
      </c>
      <c r="B11" s="8" t="s">
        <v>28</v>
      </c>
      <c r="C11" s="8" t="s">
        <v>18</v>
      </c>
      <c r="D11" s="7">
        <v>8</v>
      </c>
      <c r="E11" s="7">
        <v>2</v>
      </c>
      <c r="F11" s="13">
        <v>10</v>
      </c>
      <c r="G11" s="13">
        <v>6</v>
      </c>
      <c r="H11" s="13">
        <v>8</v>
      </c>
      <c r="I11" s="13">
        <v>10</v>
      </c>
      <c r="J11" s="13">
        <v>8</v>
      </c>
      <c r="K11" s="13">
        <v>9</v>
      </c>
      <c r="L11" s="13">
        <v>3</v>
      </c>
      <c r="M11" s="13">
        <v>9</v>
      </c>
      <c r="N11" s="13">
        <v>3</v>
      </c>
      <c r="O11" s="13">
        <v>8</v>
      </c>
      <c r="P11" s="13">
        <v>4</v>
      </c>
      <c r="Q11" s="13">
        <f>IF(COUNTA(F11:P11)=0,"",SUM(F11:P11))</f>
        <v>78</v>
      </c>
      <c r="R11" s="14">
        <f>IF(Q11="","",Q11/11)</f>
        <v>7.0909090909090908</v>
      </c>
      <c r="S11" s="8">
        <f>IF(R11="","",1+COUNTIF($R$2:$R$116,"&gt;"&amp;R11))</f>
        <v>41</v>
      </c>
      <c r="T11" s="8" t="str">
        <f>IF(Table_2e_trimestre_H[[#This Row],[Moyenne]]&gt;=5,"Validé","Non Validé")</f>
        <v>Validé</v>
      </c>
    </row>
    <row r="12" spans="1:20" s="12" customFormat="1" ht="20.25">
      <c r="A12" s="15">
        <v>11</v>
      </c>
      <c r="B12" s="15" t="s">
        <v>29</v>
      </c>
      <c r="C12" s="15" t="s">
        <v>20</v>
      </c>
      <c r="D12" s="18">
        <v>8</v>
      </c>
      <c r="E12" s="18">
        <v>2</v>
      </c>
      <c r="F12" s="16">
        <v>6</v>
      </c>
      <c r="G12" s="16">
        <v>7</v>
      </c>
      <c r="H12" s="16">
        <v>8</v>
      </c>
      <c r="I12" s="16">
        <v>10</v>
      </c>
      <c r="J12" s="16">
        <v>9</v>
      </c>
      <c r="K12" s="16">
        <v>9</v>
      </c>
      <c r="L12" s="16">
        <v>8</v>
      </c>
      <c r="M12" s="16">
        <v>8</v>
      </c>
      <c r="N12" s="16">
        <v>10</v>
      </c>
      <c r="O12" s="16">
        <v>8</v>
      </c>
      <c r="P12" s="16">
        <v>10</v>
      </c>
      <c r="Q12" s="16">
        <f>IF(COUNTA(F12:P12)=0,"",SUM(F12:P12))</f>
        <v>93</v>
      </c>
      <c r="R12" s="17">
        <f>IF(Q12="","",Q12/11)</f>
        <v>8.454545454545455</v>
      </c>
      <c r="S12" s="15">
        <f>IF(R12="","",1+COUNTIF($R$2:$R$116,"&gt;"&amp;R12))</f>
        <v>12</v>
      </c>
      <c r="T12" s="15" t="str">
        <f>IF(Table_2e_trimestre_H[[#This Row],[Moyenne]]&gt;=5,"Validé","Non Validé")</f>
        <v>Validé</v>
      </c>
    </row>
    <row r="13" spans="1:20" s="12" customFormat="1" ht="20.25">
      <c r="A13" s="15">
        <v>12</v>
      </c>
      <c r="B13" s="15" t="s">
        <v>30</v>
      </c>
      <c r="C13" s="15" t="s">
        <v>20</v>
      </c>
      <c r="D13" s="18">
        <v>8</v>
      </c>
      <c r="E13" s="18">
        <v>2</v>
      </c>
      <c r="F13" s="16">
        <v>10</v>
      </c>
      <c r="G13" s="16">
        <v>9</v>
      </c>
      <c r="H13" s="16">
        <v>8</v>
      </c>
      <c r="I13" s="16">
        <v>10</v>
      </c>
      <c r="J13" s="16">
        <v>8</v>
      </c>
      <c r="K13" s="16">
        <v>8</v>
      </c>
      <c r="L13" s="16">
        <v>5</v>
      </c>
      <c r="M13" s="16">
        <v>7</v>
      </c>
      <c r="N13" s="16">
        <v>7</v>
      </c>
      <c r="O13" s="16">
        <v>9</v>
      </c>
      <c r="P13" s="16">
        <v>10</v>
      </c>
      <c r="Q13" s="16">
        <f>IF(COUNTA(F13:P13)=0,"",SUM(F13:P13))</f>
        <v>91</v>
      </c>
      <c r="R13" s="17">
        <f>IF(Q13="","",Q13/11)</f>
        <v>8.2727272727272734</v>
      </c>
      <c r="S13" s="15">
        <f>IF(R13="","",1+COUNTIF($R$2:$R$116,"&gt;"&amp;R13))</f>
        <v>17</v>
      </c>
      <c r="T13" s="15" t="str">
        <f>IF(Table_2e_trimestre_H[[#This Row],[Moyenne]]&gt;=5,"Validé","Non Validé")</f>
        <v>Validé</v>
      </c>
    </row>
    <row r="14" spans="1:20" s="12" customFormat="1" ht="20.25">
      <c r="A14" s="15">
        <v>13</v>
      </c>
      <c r="B14" s="15" t="s">
        <v>31</v>
      </c>
      <c r="C14" s="15" t="s">
        <v>20</v>
      </c>
      <c r="D14" s="18">
        <v>8</v>
      </c>
      <c r="E14" s="18">
        <v>2</v>
      </c>
      <c r="F14" s="16">
        <v>9</v>
      </c>
      <c r="G14" s="16">
        <v>9</v>
      </c>
      <c r="H14" s="16">
        <v>8</v>
      </c>
      <c r="I14" s="16">
        <v>10</v>
      </c>
      <c r="J14" s="16">
        <v>9</v>
      </c>
      <c r="K14" s="16">
        <v>9</v>
      </c>
      <c r="L14" s="16">
        <v>7</v>
      </c>
      <c r="M14" s="16">
        <v>7</v>
      </c>
      <c r="N14" s="16">
        <v>6</v>
      </c>
      <c r="O14" s="16">
        <v>9</v>
      </c>
      <c r="P14" s="16">
        <v>10</v>
      </c>
      <c r="Q14" s="16">
        <f>IF(COUNTA(F14:P14)=0,"",SUM(F14:P14))</f>
        <v>93</v>
      </c>
      <c r="R14" s="17">
        <f>IF(Q14="","",Q14/11)</f>
        <v>8.454545454545455</v>
      </c>
      <c r="S14" s="15">
        <f>IF(R14="","",1+COUNTIF($R$2:$R$116,"&gt;"&amp;R14))</f>
        <v>12</v>
      </c>
      <c r="T14" s="15" t="str">
        <f>IF(Table_2e_trimestre_H[[#This Row],[Moyenne]]&gt;=5,"Validé","Non Validé")</f>
        <v>Validé</v>
      </c>
    </row>
    <row r="15" spans="1:20" s="11" customFormat="1" ht="20.25">
      <c r="A15" s="8">
        <v>14</v>
      </c>
      <c r="B15" s="8" t="s">
        <v>133</v>
      </c>
      <c r="C15" s="8" t="s">
        <v>18</v>
      </c>
      <c r="D15" s="7">
        <v>8</v>
      </c>
      <c r="E15" s="7">
        <v>2</v>
      </c>
      <c r="F15" s="13">
        <v>6</v>
      </c>
      <c r="G15" s="13">
        <v>9</v>
      </c>
      <c r="H15" s="13">
        <v>7</v>
      </c>
      <c r="I15" s="13">
        <v>4</v>
      </c>
      <c r="J15" s="13">
        <v>4</v>
      </c>
      <c r="K15" s="13">
        <v>3</v>
      </c>
      <c r="L15" s="13">
        <v>0</v>
      </c>
      <c r="M15" s="13">
        <v>6</v>
      </c>
      <c r="N15" s="13">
        <v>0</v>
      </c>
      <c r="O15" s="13">
        <v>7</v>
      </c>
      <c r="P15" s="13">
        <v>10</v>
      </c>
      <c r="Q15" s="13">
        <f>IF(COUNTA(F15:P15)=0,"",SUM(F15:P15))</f>
        <v>56</v>
      </c>
      <c r="R15" s="14">
        <f>IF(Q15="","",Q15/11)</f>
        <v>5.0909090909090908</v>
      </c>
      <c r="S15" s="8">
        <f>IF(R15="","",1+COUNTIF($R$2:$R$116,"&gt;"&amp;R15))</f>
        <v>108</v>
      </c>
      <c r="T15" s="8" t="str">
        <f>IF(Table_2e_trimestre_H[[#This Row],[Moyenne]]&gt;=5,"Validé","Non Validé")</f>
        <v>Validé</v>
      </c>
    </row>
    <row r="16" spans="1:20" s="12" customFormat="1" ht="20.25">
      <c r="A16" s="15">
        <v>15</v>
      </c>
      <c r="B16" s="15" t="s">
        <v>32</v>
      </c>
      <c r="C16" s="15" t="s">
        <v>20</v>
      </c>
      <c r="D16" s="18">
        <v>8</v>
      </c>
      <c r="E16" s="18">
        <v>2</v>
      </c>
      <c r="F16" s="16">
        <v>8</v>
      </c>
      <c r="G16" s="16">
        <v>7</v>
      </c>
      <c r="H16" s="16">
        <v>8</v>
      </c>
      <c r="I16" s="16">
        <v>7</v>
      </c>
      <c r="J16" s="16">
        <v>5</v>
      </c>
      <c r="K16" s="16">
        <v>4</v>
      </c>
      <c r="L16" s="16">
        <v>3</v>
      </c>
      <c r="M16" s="16">
        <v>7</v>
      </c>
      <c r="N16" s="16">
        <v>7</v>
      </c>
      <c r="O16" s="16">
        <v>8</v>
      </c>
      <c r="P16" s="16">
        <v>10</v>
      </c>
      <c r="Q16" s="16">
        <f>IF(COUNTA(F16:P16)=0,"",SUM(F16:P16))</f>
        <v>74</v>
      </c>
      <c r="R16" s="17">
        <f>IF(Q16="","",Q16/11)</f>
        <v>6.7272727272727275</v>
      </c>
      <c r="S16" s="15">
        <f>IF(R16="","",1+COUNTIF($R$2:$R$116,"&gt;"&amp;R16))</f>
        <v>51</v>
      </c>
      <c r="T16" s="15" t="str">
        <f>IF(Table_2e_trimestre_H[[#This Row],[Moyenne]]&gt;=5,"Validé","Non Validé")</f>
        <v>Validé</v>
      </c>
    </row>
    <row r="17" spans="1:20" s="12" customFormat="1" ht="20.25">
      <c r="A17" s="15">
        <v>16</v>
      </c>
      <c r="B17" s="15" t="s">
        <v>33</v>
      </c>
      <c r="C17" s="15" t="s">
        <v>20</v>
      </c>
      <c r="D17" s="18">
        <v>8</v>
      </c>
      <c r="E17" s="18">
        <v>2</v>
      </c>
      <c r="F17" s="16">
        <v>4</v>
      </c>
      <c r="G17" s="16">
        <v>6</v>
      </c>
      <c r="H17" s="16">
        <v>9</v>
      </c>
      <c r="I17" s="16">
        <v>7</v>
      </c>
      <c r="J17" s="16">
        <v>7</v>
      </c>
      <c r="K17" s="16">
        <v>8</v>
      </c>
      <c r="L17" s="16">
        <v>5</v>
      </c>
      <c r="M17" s="16">
        <v>4</v>
      </c>
      <c r="N17" s="16">
        <v>1</v>
      </c>
      <c r="O17" s="16">
        <v>6</v>
      </c>
      <c r="P17" s="16">
        <v>8</v>
      </c>
      <c r="Q17" s="16">
        <f>IF(COUNTA(F17:P17)=0,"",SUM(F17:P17))</f>
        <v>65</v>
      </c>
      <c r="R17" s="17">
        <f>IF(Q17="","",Q17/11)</f>
        <v>5.9090909090909092</v>
      </c>
      <c r="S17" s="15">
        <f>IF(R17="","",1+COUNTIF($R$2:$R$116,"&gt;"&amp;R17))</f>
        <v>80</v>
      </c>
      <c r="T17" s="15" t="str">
        <f>IF(Table_2e_trimestre_H[[#This Row],[Moyenne]]&gt;=5,"Validé","Non Validé")</f>
        <v>Validé</v>
      </c>
    </row>
    <row r="18" spans="1:20" s="12" customFormat="1" ht="20.25">
      <c r="A18" s="15">
        <v>17</v>
      </c>
      <c r="B18" s="15" t="s">
        <v>134</v>
      </c>
      <c r="C18" s="15" t="s">
        <v>20</v>
      </c>
      <c r="D18" s="18">
        <v>8</v>
      </c>
      <c r="E18" s="18">
        <v>2</v>
      </c>
      <c r="F18" s="16">
        <v>0</v>
      </c>
      <c r="G18" s="16">
        <v>5</v>
      </c>
      <c r="H18" s="16">
        <v>6</v>
      </c>
      <c r="I18" s="16">
        <v>0</v>
      </c>
      <c r="J18" s="16">
        <v>6</v>
      </c>
      <c r="K18" s="16">
        <v>5</v>
      </c>
      <c r="L18" s="16">
        <v>0</v>
      </c>
      <c r="M18" s="16">
        <v>5</v>
      </c>
      <c r="N18" s="16">
        <v>4</v>
      </c>
      <c r="O18" s="16">
        <v>5</v>
      </c>
      <c r="P18" s="16">
        <v>2</v>
      </c>
      <c r="Q18" s="16">
        <f>IF(COUNTA(F18:P18)=0,"",SUM(F18:P18))</f>
        <v>38</v>
      </c>
      <c r="R18" s="17">
        <f>IF(Q18="","",Q18/11)</f>
        <v>3.4545454545454546</v>
      </c>
      <c r="S18" s="15">
        <f>IF(R18="","",1+COUNTIF($R$2:$R$116,"&gt;"&amp;R18))</f>
        <v>115</v>
      </c>
      <c r="T18" s="15" t="str">
        <f>IF(Table_2e_trimestre_H[[#This Row],[Moyenne]]&gt;=5,"Validé","Non Validé")</f>
        <v>Non Validé</v>
      </c>
    </row>
    <row r="19" spans="1:20" s="11" customFormat="1" ht="20.25">
      <c r="A19" s="8">
        <v>18</v>
      </c>
      <c r="B19" s="8" t="s">
        <v>34</v>
      </c>
      <c r="C19" s="8" t="s">
        <v>18</v>
      </c>
      <c r="D19" s="7">
        <v>8</v>
      </c>
      <c r="E19" s="7">
        <v>2</v>
      </c>
      <c r="F19" s="13">
        <v>6</v>
      </c>
      <c r="G19" s="13">
        <v>4</v>
      </c>
      <c r="H19" s="13">
        <v>7</v>
      </c>
      <c r="I19" s="13">
        <v>4</v>
      </c>
      <c r="J19" s="13">
        <v>6</v>
      </c>
      <c r="K19" s="13">
        <v>4</v>
      </c>
      <c r="L19" s="13">
        <v>1</v>
      </c>
      <c r="M19" s="13">
        <v>6</v>
      </c>
      <c r="N19" s="13">
        <v>1</v>
      </c>
      <c r="O19" s="13">
        <v>5</v>
      </c>
      <c r="P19" s="13">
        <v>8</v>
      </c>
      <c r="Q19" s="13">
        <f>IF(COUNTA(F19:P19)=0,"",SUM(F19:P19))</f>
        <v>52</v>
      </c>
      <c r="R19" s="14">
        <f>IF(Q19="","",Q19/11)</f>
        <v>4.7272727272727275</v>
      </c>
      <c r="S19" s="8">
        <f>IF(R19="","",1+COUNTIF($R$2:$R$116,"&gt;"&amp;R19))</f>
        <v>110</v>
      </c>
      <c r="T19" s="8" t="str">
        <f>IF(Table_2e_trimestre_H[[#This Row],[Moyenne]]&gt;=5,"Validé","Non Validé")</f>
        <v>Non Validé</v>
      </c>
    </row>
    <row r="20" spans="1:20" s="12" customFormat="1" ht="20.25">
      <c r="A20" s="15">
        <v>19</v>
      </c>
      <c r="B20" s="15" t="s">
        <v>35</v>
      </c>
      <c r="C20" s="15" t="s">
        <v>20</v>
      </c>
      <c r="D20" s="18">
        <v>8</v>
      </c>
      <c r="E20" s="18">
        <v>2</v>
      </c>
      <c r="F20" s="16">
        <v>0</v>
      </c>
      <c r="G20" s="16">
        <v>1</v>
      </c>
      <c r="H20" s="16">
        <v>6</v>
      </c>
      <c r="I20" s="16">
        <v>1</v>
      </c>
      <c r="J20" s="16">
        <v>7</v>
      </c>
      <c r="K20" s="16">
        <v>8</v>
      </c>
      <c r="L20" s="16">
        <v>1</v>
      </c>
      <c r="M20" s="16">
        <v>4</v>
      </c>
      <c r="N20" s="16">
        <v>1</v>
      </c>
      <c r="O20" s="16">
        <v>6</v>
      </c>
      <c r="P20" s="16">
        <v>8</v>
      </c>
      <c r="Q20" s="16">
        <f>IF(COUNTA(F20:P20)=0,"",SUM(F20:P20))</f>
        <v>43</v>
      </c>
      <c r="R20" s="17">
        <f>IF(Q20="","",Q20/11)</f>
        <v>3.9090909090909092</v>
      </c>
      <c r="S20" s="15">
        <f>IF(R20="","",1+COUNTIF($R$2:$R$116,"&gt;"&amp;R20))</f>
        <v>114</v>
      </c>
      <c r="T20" s="15" t="str">
        <f>IF(Table_2e_trimestre_H[[#This Row],[Moyenne]]&gt;=5,"Validé","Non Validé")</f>
        <v>Non Validé</v>
      </c>
    </row>
    <row r="21" spans="1:20" s="11" customFormat="1" ht="20.25">
      <c r="A21" s="8">
        <v>20</v>
      </c>
      <c r="B21" s="8" t="s">
        <v>36</v>
      </c>
      <c r="C21" s="8" t="s">
        <v>18</v>
      </c>
      <c r="D21" s="7">
        <v>8</v>
      </c>
      <c r="E21" s="7">
        <v>2</v>
      </c>
      <c r="F21" s="13">
        <v>7</v>
      </c>
      <c r="G21" s="13">
        <v>6</v>
      </c>
      <c r="H21" s="13">
        <v>8</v>
      </c>
      <c r="I21" s="13">
        <v>5</v>
      </c>
      <c r="J21" s="13">
        <v>7</v>
      </c>
      <c r="K21" s="13">
        <v>7</v>
      </c>
      <c r="L21" s="13">
        <v>2</v>
      </c>
      <c r="M21" s="13">
        <v>6</v>
      </c>
      <c r="N21" s="13">
        <v>1</v>
      </c>
      <c r="O21" s="13">
        <v>7</v>
      </c>
      <c r="P21" s="13">
        <v>8</v>
      </c>
      <c r="Q21" s="13">
        <f>IF(COUNTA(F21:P21)=0,"",SUM(F21:P21))</f>
        <v>64</v>
      </c>
      <c r="R21" s="14">
        <f>IF(Q21="","",Q21/11)</f>
        <v>5.8181818181818183</v>
      </c>
      <c r="S21" s="8">
        <f>IF(R21="","",1+COUNTIF($R$2:$R$116,"&gt;"&amp;R21))</f>
        <v>83</v>
      </c>
      <c r="T21" s="8" t="str">
        <f>IF(Table_2e_trimestre_H[[#This Row],[Moyenne]]&gt;=5,"Validé","Non Validé")</f>
        <v>Validé</v>
      </c>
    </row>
    <row r="22" spans="1:20" s="12" customFormat="1" ht="20.25">
      <c r="A22" s="15">
        <v>21</v>
      </c>
      <c r="B22" s="15" t="s">
        <v>37</v>
      </c>
      <c r="C22" s="15" t="s">
        <v>20</v>
      </c>
      <c r="D22" s="18">
        <v>8</v>
      </c>
      <c r="E22" s="18">
        <v>2</v>
      </c>
      <c r="F22" s="16">
        <v>9</v>
      </c>
      <c r="G22" s="16">
        <v>4</v>
      </c>
      <c r="H22" s="16">
        <v>7</v>
      </c>
      <c r="I22" s="16">
        <v>3</v>
      </c>
      <c r="J22" s="16">
        <v>6</v>
      </c>
      <c r="K22" s="16">
        <v>6</v>
      </c>
      <c r="L22" s="16">
        <v>4</v>
      </c>
      <c r="M22" s="16">
        <v>5</v>
      </c>
      <c r="N22" s="16">
        <v>4</v>
      </c>
      <c r="O22" s="16">
        <v>7</v>
      </c>
      <c r="P22" s="16">
        <v>9</v>
      </c>
      <c r="Q22" s="16">
        <f>IF(COUNTA(F22:P22)=0,"",SUM(F22:P22))</f>
        <v>64</v>
      </c>
      <c r="R22" s="17">
        <f>IF(Q22="","",Q22/11)</f>
        <v>5.8181818181818183</v>
      </c>
      <c r="S22" s="15">
        <f>IF(R22="","",1+COUNTIF($R$2:$R$116,"&gt;"&amp;R22))</f>
        <v>83</v>
      </c>
      <c r="T22" s="15" t="str">
        <f>IF(Table_2e_trimestre_H[[#This Row],[Moyenne]]&gt;=5,"Validé","Non Validé")</f>
        <v>Validé</v>
      </c>
    </row>
    <row r="23" spans="1:20" s="11" customFormat="1" ht="20.25">
      <c r="A23" s="8">
        <v>22</v>
      </c>
      <c r="B23" s="8" t="s">
        <v>38</v>
      </c>
      <c r="C23" s="8" t="s">
        <v>18</v>
      </c>
      <c r="D23" s="7">
        <v>8</v>
      </c>
      <c r="E23" s="7">
        <v>2</v>
      </c>
      <c r="F23" s="13">
        <v>1</v>
      </c>
      <c r="G23" s="13">
        <v>6</v>
      </c>
      <c r="H23" s="13">
        <v>8</v>
      </c>
      <c r="I23" s="13">
        <v>6</v>
      </c>
      <c r="J23" s="13">
        <v>6</v>
      </c>
      <c r="K23" s="13">
        <v>8</v>
      </c>
      <c r="L23" s="13">
        <v>2</v>
      </c>
      <c r="M23" s="13">
        <v>6</v>
      </c>
      <c r="N23" s="13">
        <v>4</v>
      </c>
      <c r="O23" s="13">
        <v>7</v>
      </c>
      <c r="P23" s="13">
        <v>7</v>
      </c>
      <c r="Q23" s="13">
        <f>IF(COUNTA(F23:P23)=0,"",SUM(F23:P23))</f>
        <v>61</v>
      </c>
      <c r="R23" s="14">
        <f>IF(Q23="","",Q23/11)</f>
        <v>5.5454545454545459</v>
      </c>
      <c r="S23" s="8">
        <f>IF(R23="","",1+COUNTIF($R$2:$R$116,"&gt;"&amp;R23))</f>
        <v>96</v>
      </c>
      <c r="T23" s="8" t="str">
        <f>IF(Table_2e_trimestre_H[[#This Row],[Moyenne]]&gt;=5,"Validé","Non Validé")</f>
        <v>Validé</v>
      </c>
    </row>
    <row r="24" spans="1:20" s="11" customFormat="1" ht="20.25">
      <c r="A24" s="8">
        <v>23</v>
      </c>
      <c r="B24" s="8" t="s">
        <v>39</v>
      </c>
      <c r="C24" s="8" t="s">
        <v>18</v>
      </c>
      <c r="D24" s="7">
        <v>8</v>
      </c>
      <c r="E24" s="7">
        <v>2</v>
      </c>
      <c r="F24" s="13">
        <v>6</v>
      </c>
      <c r="G24" s="13">
        <v>5</v>
      </c>
      <c r="H24" s="13">
        <v>8</v>
      </c>
      <c r="I24" s="13">
        <v>4</v>
      </c>
      <c r="J24" s="13">
        <v>7</v>
      </c>
      <c r="K24" s="13">
        <v>9</v>
      </c>
      <c r="L24" s="13">
        <v>0</v>
      </c>
      <c r="M24" s="13">
        <v>7</v>
      </c>
      <c r="N24" s="13">
        <v>0</v>
      </c>
      <c r="O24" s="13">
        <v>6</v>
      </c>
      <c r="P24" s="13">
        <v>10</v>
      </c>
      <c r="Q24" s="13">
        <f>IF(COUNTA(F24:P24)=0,"",SUM(F24:P24))</f>
        <v>62</v>
      </c>
      <c r="R24" s="14">
        <f>IF(Q24="","",Q24/11)</f>
        <v>5.6363636363636367</v>
      </c>
      <c r="S24" s="8">
        <f>IF(R24="","",1+COUNTIF($R$2:$R$116,"&gt;"&amp;R24))</f>
        <v>92</v>
      </c>
      <c r="T24" s="8" t="str">
        <f>IF(Table_2e_trimestre_H[[#This Row],[Moyenne]]&gt;=5,"Validé","Non Validé")</f>
        <v>Validé</v>
      </c>
    </row>
    <row r="25" spans="1:20" s="12" customFormat="1" ht="20.25">
      <c r="A25" s="15">
        <v>24</v>
      </c>
      <c r="B25" s="15" t="s">
        <v>40</v>
      </c>
      <c r="C25" s="15" t="s">
        <v>20</v>
      </c>
      <c r="D25" s="18">
        <v>8</v>
      </c>
      <c r="E25" s="18">
        <v>2</v>
      </c>
      <c r="F25" s="16">
        <v>6</v>
      </c>
      <c r="G25" s="16">
        <v>4</v>
      </c>
      <c r="H25" s="16">
        <v>7</v>
      </c>
      <c r="I25" s="16">
        <v>6</v>
      </c>
      <c r="J25" s="16">
        <v>5</v>
      </c>
      <c r="K25" s="16">
        <v>5</v>
      </c>
      <c r="L25" s="16">
        <v>0</v>
      </c>
      <c r="M25" s="16">
        <v>5</v>
      </c>
      <c r="N25" s="16">
        <v>1</v>
      </c>
      <c r="O25" s="16">
        <v>5</v>
      </c>
      <c r="P25" s="16">
        <v>6</v>
      </c>
      <c r="Q25" s="16">
        <f>IF(COUNTA(F25:P25)=0,"",SUM(F25:P25))</f>
        <v>50</v>
      </c>
      <c r="R25" s="17">
        <f>IF(Q25="","",Q25/11)</f>
        <v>4.5454545454545459</v>
      </c>
      <c r="S25" s="15">
        <f>IF(R25="","",1+COUNTIF($R$2:$R$116,"&gt;"&amp;R25))</f>
        <v>111</v>
      </c>
      <c r="T25" s="15" t="str">
        <f>IF(Table_2e_trimestre_H[[#This Row],[Moyenne]]&gt;=5,"Validé","Non Validé")</f>
        <v>Non Validé</v>
      </c>
    </row>
    <row r="26" spans="1:20" s="11" customFormat="1" ht="20.25">
      <c r="A26" s="8">
        <v>25</v>
      </c>
      <c r="B26" s="8" t="s">
        <v>41</v>
      </c>
      <c r="C26" s="8" t="s">
        <v>18</v>
      </c>
      <c r="D26" s="7">
        <v>8</v>
      </c>
      <c r="E26" s="7">
        <v>2</v>
      </c>
      <c r="F26" s="13">
        <v>10</v>
      </c>
      <c r="G26" s="13">
        <v>6</v>
      </c>
      <c r="H26" s="13">
        <v>8</v>
      </c>
      <c r="I26" s="13">
        <v>4</v>
      </c>
      <c r="J26" s="13">
        <v>6</v>
      </c>
      <c r="K26" s="13">
        <v>8</v>
      </c>
      <c r="L26" s="13">
        <v>6</v>
      </c>
      <c r="M26" s="13">
        <v>5</v>
      </c>
      <c r="N26" s="13">
        <v>0</v>
      </c>
      <c r="O26" s="13">
        <v>7</v>
      </c>
      <c r="P26" s="13">
        <v>8</v>
      </c>
      <c r="Q26" s="13">
        <f>IF(COUNTA(F26:P26)=0,"",SUM(F26:P26))</f>
        <v>68</v>
      </c>
      <c r="R26" s="14">
        <f>IF(Q26="","",Q26/11)</f>
        <v>6.1818181818181817</v>
      </c>
      <c r="S26" s="8">
        <f>IF(R26="","",1+COUNTIF($R$2:$R$116,"&gt;"&amp;R26))</f>
        <v>69</v>
      </c>
      <c r="T26" s="8" t="str">
        <f>IF(Table_2e_trimestre_H[[#This Row],[Moyenne]]&gt;=5,"Validé","Non Validé")</f>
        <v>Validé</v>
      </c>
    </row>
    <row r="27" spans="1:20" s="11" customFormat="1" ht="20.25">
      <c r="A27" s="8">
        <v>26</v>
      </c>
      <c r="B27" s="8" t="s">
        <v>42</v>
      </c>
      <c r="C27" s="8" t="s">
        <v>18</v>
      </c>
      <c r="D27" s="7">
        <v>8</v>
      </c>
      <c r="E27" s="7">
        <v>2</v>
      </c>
      <c r="F27" s="13">
        <v>9</v>
      </c>
      <c r="G27" s="13">
        <v>7</v>
      </c>
      <c r="H27" s="13">
        <v>8</v>
      </c>
      <c r="I27" s="13">
        <v>3</v>
      </c>
      <c r="J27" s="13">
        <v>7</v>
      </c>
      <c r="K27" s="13">
        <v>10</v>
      </c>
      <c r="L27" s="13">
        <v>2</v>
      </c>
      <c r="M27" s="13">
        <v>7</v>
      </c>
      <c r="N27" s="13">
        <v>2</v>
      </c>
      <c r="O27" s="13">
        <v>6</v>
      </c>
      <c r="P27" s="13">
        <v>10</v>
      </c>
      <c r="Q27" s="13">
        <f>IF(COUNTA(F27:P27)=0,"",SUM(F27:P27))</f>
        <v>71</v>
      </c>
      <c r="R27" s="14">
        <f>IF(Q27="","",Q27/11)</f>
        <v>6.4545454545454541</v>
      </c>
      <c r="S27" s="8">
        <f>IF(R27="","",1+COUNTIF($R$2:$R$116,"&gt;"&amp;R27))</f>
        <v>63</v>
      </c>
      <c r="T27" s="8" t="str">
        <f>IF(Table_2e_trimestre_H[[#This Row],[Moyenne]]&gt;=5,"Validé","Non Validé")</f>
        <v>Validé</v>
      </c>
    </row>
    <row r="28" spans="1:20" s="12" customFormat="1" ht="20.25">
      <c r="A28" s="15">
        <v>27</v>
      </c>
      <c r="B28" s="15" t="s">
        <v>43</v>
      </c>
      <c r="C28" s="15" t="s">
        <v>20</v>
      </c>
      <c r="D28" s="18">
        <v>8</v>
      </c>
      <c r="E28" s="18">
        <v>2</v>
      </c>
      <c r="F28" s="16">
        <v>9</v>
      </c>
      <c r="G28" s="16">
        <v>6</v>
      </c>
      <c r="H28" s="16">
        <v>8</v>
      </c>
      <c r="I28" s="16">
        <v>2</v>
      </c>
      <c r="J28" s="16">
        <v>7</v>
      </c>
      <c r="K28" s="16">
        <v>8</v>
      </c>
      <c r="L28" s="16">
        <v>1</v>
      </c>
      <c r="M28" s="16">
        <v>4</v>
      </c>
      <c r="N28" s="16">
        <v>3</v>
      </c>
      <c r="O28" s="16">
        <v>6</v>
      </c>
      <c r="P28" s="16">
        <v>10</v>
      </c>
      <c r="Q28" s="16">
        <f>IF(COUNTA(F28:P28)=0,"",SUM(F28:P28))</f>
        <v>64</v>
      </c>
      <c r="R28" s="17">
        <f>IF(Q28="","",Q28/11)</f>
        <v>5.8181818181818183</v>
      </c>
      <c r="S28" s="15">
        <f>IF(R28="","",1+COUNTIF($R$2:$R$116,"&gt;"&amp;R28))</f>
        <v>83</v>
      </c>
      <c r="T28" s="15" t="str">
        <f>IF(Table_2e_trimestre_H[[#This Row],[Moyenne]]&gt;=5,"Validé","Non Validé")</f>
        <v>Validé</v>
      </c>
    </row>
    <row r="29" spans="1:20" s="12" customFormat="1" ht="20.25">
      <c r="A29" s="15">
        <v>28</v>
      </c>
      <c r="B29" s="15" t="s">
        <v>44</v>
      </c>
      <c r="C29" s="15" t="s">
        <v>20</v>
      </c>
      <c r="D29" s="18">
        <v>8</v>
      </c>
      <c r="E29" s="18">
        <v>2</v>
      </c>
      <c r="F29" s="16">
        <v>10</v>
      </c>
      <c r="G29" s="16">
        <v>6</v>
      </c>
      <c r="H29" s="16">
        <v>8</v>
      </c>
      <c r="I29" s="16">
        <v>4</v>
      </c>
      <c r="J29" s="16">
        <v>6</v>
      </c>
      <c r="K29" s="16">
        <v>7</v>
      </c>
      <c r="L29" s="16">
        <v>0</v>
      </c>
      <c r="M29" s="16">
        <v>7</v>
      </c>
      <c r="N29" s="16">
        <v>0</v>
      </c>
      <c r="O29" s="16">
        <v>7</v>
      </c>
      <c r="P29" s="16">
        <v>8</v>
      </c>
      <c r="Q29" s="16">
        <f>IF(COUNTA(F29:P29)=0,"",SUM(F29:P29))</f>
        <v>63</v>
      </c>
      <c r="R29" s="17">
        <f>IF(Q29="","",Q29/11)</f>
        <v>5.7272727272727275</v>
      </c>
      <c r="S29" s="15">
        <f>IF(R29="","",1+COUNTIF($R$2:$R$116,"&gt;"&amp;R29))</f>
        <v>90</v>
      </c>
      <c r="T29" s="15" t="str">
        <f>IF(Table_2e_trimestre_H[[#This Row],[Moyenne]]&gt;=5,"Validé","Non Validé")</f>
        <v>Validé</v>
      </c>
    </row>
    <row r="30" spans="1:20" s="11" customFormat="1" ht="20.25">
      <c r="A30" s="8">
        <v>29</v>
      </c>
      <c r="B30" s="8" t="s">
        <v>45</v>
      </c>
      <c r="C30" s="8" t="s">
        <v>18</v>
      </c>
      <c r="D30" s="7">
        <v>8</v>
      </c>
      <c r="E30" s="7">
        <v>2</v>
      </c>
      <c r="F30" s="13">
        <v>9</v>
      </c>
      <c r="G30" s="13">
        <v>8</v>
      </c>
      <c r="H30" s="13">
        <v>7</v>
      </c>
      <c r="I30" s="13">
        <v>6</v>
      </c>
      <c r="J30" s="13">
        <v>5</v>
      </c>
      <c r="K30" s="13">
        <v>6</v>
      </c>
      <c r="L30" s="13">
        <v>1</v>
      </c>
      <c r="M30" s="13">
        <v>5</v>
      </c>
      <c r="N30" s="13">
        <v>3</v>
      </c>
      <c r="O30" s="13">
        <v>7</v>
      </c>
      <c r="P30" s="13">
        <v>8</v>
      </c>
      <c r="Q30" s="13">
        <f>IF(COUNTA(F30:P30)=0,"",SUM(F30:P30))</f>
        <v>65</v>
      </c>
      <c r="R30" s="14">
        <f>IF(Q30="","",Q30/11)</f>
        <v>5.9090909090909092</v>
      </c>
      <c r="S30" s="8">
        <f>IF(R30="","",1+COUNTIF($R$2:$R$116,"&gt;"&amp;R30))</f>
        <v>80</v>
      </c>
      <c r="T30" s="8" t="str">
        <f>IF(Table_2e_trimestre_H[[#This Row],[Moyenne]]&gt;=5,"Validé","Non Validé")</f>
        <v>Validé</v>
      </c>
    </row>
    <row r="31" spans="1:20" s="12" customFormat="1" ht="20.25">
      <c r="A31" s="15">
        <v>30</v>
      </c>
      <c r="B31" s="15" t="s">
        <v>46</v>
      </c>
      <c r="C31" s="15" t="s">
        <v>20</v>
      </c>
      <c r="D31" s="18">
        <v>8</v>
      </c>
      <c r="E31" s="18">
        <v>2</v>
      </c>
      <c r="F31" s="16">
        <v>10</v>
      </c>
      <c r="G31" s="16">
        <v>6</v>
      </c>
      <c r="H31" s="16">
        <v>8</v>
      </c>
      <c r="I31" s="16">
        <v>6</v>
      </c>
      <c r="J31" s="16">
        <v>9</v>
      </c>
      <c r="K31" s="16">
        <v>9</v>
      </c>
      <c r="L31" s="16">
        <v>4</v>
      </c>
      <c r="M31" s="16">
        <v>7</v>
      </c>
      <c r="N31" s="16">
        <v>5</v>
      </c>
      <c r="O31" s="16">
        <v>6</v>
      </c>
      <c r="P31" s="16">
        <v>10</v>
      </c>
      <c r="Q31" s="16">
        <f>IF(COUNTA(F31:P31)=0,"",SUM(F31:P31))</f>
        <v>80</v>
      </c>
      <c r="R31" s="17">
        <f>IF(Q31="","",Q31/11)</f>
        <v>7.2727272727272725</v>
      </c>
      <c r="S31" s="15">
        <f>IF(R31="","",1+COUNTIF($R$2:$R$116,"&gt;"&amp;R31))</f>
        <v>37</v>
      </c>
      <c r="T31" s="15" t="str">
        <f>IF(Table_2e_trimestre_H[[#This Row],[Moyenne]]&gt;=5,"Validé","Non Validé")</f>
        <v>Validé</v>
      </c>
    </row>
    <row r="32" spans="1:20" s="11" customFormat="1" ht="20.25">
      <c r="A32" s="8">
        <v>31</v>
      </c>
      <c r="B32" s="8" t="s">
        <v>113</v>
      </c>
      <c r="C32" s="8" t="s">
        <v>18</v>
      </c>
      <c r="D32" s="7">
        <v>8</v>
      </c>
      <c r="E32" s="7">
        <v>2</v>
      </c>
      <c r="F32" s="13">
        <v>7</v>
      </c>
      <c r="G32" s="13">
        <v>10</v>
      </c>
      <c r="H32" s="13">
        <v>8</v>
      </c>
      <c r="I32" s="13">
        <v>7</v>
      </c>
      <c r="J32" s="13">
        <v>7</v>
      </c>
      <c r="K32" s="13">
        <v>6</v>
      </c>
      <c r="L32" s="13">
        <v>5</v>
      </c>
      <c r="M32" s="13">
        <v>7</v>
      </c>
      <c r="N32" s="13">
        <v>0</v>
      </c>
      <c r="O32" s="13">
        <v>7</v>
      </c>
      <c r="P32" s="13">
        <v>10</v>
      </c>
      <c r="Q32" s="13">
        <f>IF(COUNTA(F32:P32)=0,"",SUM(F32:P32))</f>
        <v>74</v>
      </c>
      <c r="R32" s="14">
        <f>IF(Q32="","",Q32/11)</f>
        <v>6.7272727272727275</v>
      </c>
      <c r="S32" s="8">
        <f>IF(R32="","",1+COUNTIF($R$2:$R$116,"&gt;"&amp;R32))</f>
        <v>51</v>
      </c>
      <c r="T32" s="8" t="str">
        <f>IF(Table_2e_trimestre_H[[#This Row],[Moyenne]]&gt;=5,"Validé","Non Validé")</f>
        <v>Validé</v>
      </c>
    </row>
    <row r="33" spans="1:20" s="12" customFormat="1" ht="20.25">
      <c r="A33" s="15">
        <v>32</v>
      </c>
      <c r="B33" s="15" t="s">
        <v>47</v>
      </c>
      <c r="C33" s="15" t="s">
        <v>20</v>
      </c>
      <c r="D33" s="18">
        <v>8</v>
      </c>
      <c r="E33" s="18">
        <v>2</v>
      </c>
      <c r="F33" s="16">
        <v>7</v>
      </c>
      <c r="G33" s="16">
        <v>8</v>
      </c>
      <c r="H33" s="16">
        <v>8</v>
      </c>
      <c r="I33" s="16">
        <v>8</v>
      </c>
      <c r="J33" s="16">
        <v>6</v>
      </c>
      <c r="K33" s="16">
        <v>10</v>
      </c>
      <c r="L33" s="16">
        <v>2</v>
      </c>
      <c r="M33" s="16">
        <v>6</v>
      </c>
      <c r="N33" s="16">
        <v>5</v>
      </c>
      <c r="O33" s="16">
        <v>6</v>
      </c>
      <c r="P33" s="16">
        <v>8</v>
      </c>
      <c r="Q33" s="16">
        <f>IF(COUNTA(F33:P33)=0,"",SUM(F33:P33))</f>
        <v>74</v>
      </c>
      <c r="R33" s="17">
        <f>IF(Q33="","",Q33/11)</f>
        <v>6.7272727272727275</v>
      </c>
      <c r="S33" s="15">
        <f>IF(R33="","",1+COUNTIF($R$2:$R$116,"&gt;"&amp;R33))</f>
        <v>51</v>
      </c>
      <c r="T33" s="15" t="str">
        <f>IF(Table_2e_trimestre_H[[#This Row],[Moyenne]]&gt;=5,"Validé","Non Validé")</f>
        <v>Validé</v>
      </c>
    </row>
    <row r="34" spans="1:20" s="11" customFormat="1" ht="20.25">
      <c r="A34" s="8">
        <v>33</v>
      </c>
      <c r="B34" s="8" t="s">
        <v>114</v>
      </c>
      <c r="C34" s="8" t="s">
        <v>18</v>
      </c>
      <c r="D34" s="7">
        <v>8</v>
      </c>
      <c r="E34" s="7">
        <v>2</v>
      </c>
      <c r="F34" s="13">
        <v>4</v>
      </c>
      <c r="G34" s="13">
        <v>10</v>
      </c>
      <c r="H34" s="13">
        <v>8</v>
      </c>
      <c r="I34" s="13">
        <v>2</v>
      </c>
      <c r="J34" s="13">
        <v>6</v>
      </c>
      <c r="K34" s="13">
        <v>6</v>
      </c>
      <c r="L34" s="13">
        <v>2</v>
      </c>
      <c r="M34" s="13">
        <v>7</v>
      </c>
      <c r="N34" s="13">
        <v>7</v>
      </c>
      <c r="O34" s="13">
        <v>8</v>
      </c>
      <c r="P34" s="13">
        <v>6</v>
      </c>
      <c r="Q34" s="13">
        <f>IF(COUNTA(F34:P34)=0,"",SUM(F34:P34))</f>
        <v>66</v>
      </c>
      <c r="R34" s="14">
        <f>IF(Q34="","",Q34/11)</f>
        <v>6</v>
      </c>
      <c r="S34" s="8">
        <f>IF(R34="","",1+COUNTIF($R$2:$R$116,"&gt;"&amp;R34))</f>
        <v>75</v>
      </c>
      <c r="T34" s="8" t="str">
        <f>IF(Table_2e_trimestre_H[[#This Row],[Moyenne]]&gt;=5,"Validé","Non Validé")</f>
        <v>Validé</v>
      </c>
    </row>
    <row r="35" spans="1:20" s="12" customFormat="1" ht="20.25">
      <c r="A35" s="15">
        <v>34</v>
      </c>
      <c r="B35" s="15" t="s">
        <v>48</v>
      </c>
      <c r="C35" s="15" t="s">
        <v>20</v>
      </c>
      <c r="D35" s="18">
        <v>8</v>
      </c>
      <c r="E35" s="18">
        <v>2</v>
      </c>
      <c r="F35" s="16">
        <v>8</v>
      </c>
      <c r="G35" s="16">
        <v>10</v>
      </c>
      <c r="H35" s="16">
        <v>7</v>
      </c>
      <c r="I35" s="16">
        <v>8</v>
      </c>
      <c r="J35" s="16">
        <v>8</v>
      </c>
      <c r="K35" s="16">
        <v>8</v>
      </c>
      <c r="L35" s="16">
        <v>4</v>
      </c>
      <c r="M35" s="16">
        <v>6</v>
      </c>
      <c r="N35" s="16">
        <v>1</v>
      </c>
      <c r="O35" s="16">
        <v>7</v>
      </c>
      <c r="P35" s="16">
        <v>8</v>
      </c>
      <c r="Q35" s="16">
        <f>IF(COUNTA(F35:P35)=0,"",SUM(F35:P35))</f>
        <v>75</v>
      </c>
      <c r="R35" s="17">
        <f>IF(Q35="","",Q35/11)</f>
        <v>6.8181818181818183</v>
      </c>
      <c r="S35" s="15">
        <f>IF(R35="","",1+COUNTIF($R$2:$R$116,"&gt;"&amp;R35))</f>
        <v>50</v>
      </c>
      <c r="T35" s="15" t="str">
        <f>IF(Table_2e_trimestre_H[[#This Row],[Moyenne]]&gt;=5,"Validé","Non Validé")</f>
        <v>Validé</v>
      </c>
    </row>
    <row r="36" spans="1:20" s="12" customFormat="1" ht="20.25">
      <c r="A36" s="15">
        <v>35</v>
      </c>
      <c r="B36" s="15" t="s">
        <v>49</v>
      </c>
      <c r="C36" s="15" t="s">
        <v>20</v>
      </c>
      <c r="D36" s="18">
        <v>8</v>
      </c>
      <c r="E36" s="18">
        <v>2</v>
      </c>
      <c r="F36" s="16">
        <v>10</v>
      </c>
      <c r="G36" s="16">
        <v>10</v>
      </c>
      <c r="H36" s="16">
        <v>9</v>
      </c>
      <c r="I36" s="16">
        <v>3</v>
      </c>
      <c r="J36" s="16">
        <v>9</v>
      </c>
      <c r="K36" s="16">
        <v>9</v>
      </c>
      <c r="L36" s="16">
        <v>5</v>
      </c>
      <c r="M36" s="16">
        <v>5</v>
      </c>
      <c r="N36" s="16">
        <v>7</v>
      </c>
      <c r="O36" s="16">
        <v>8</v>
      </c>
      <c r="P36" s="16">
        <v>10</v>
      </c>
      <c r="Q36" s="16">
        <f>IF(COUNTA(F36:P36)=0,"",SUM(F36:P36))</f>
        <v>85</v>
      </c>
      <c r="R36" s="17">
        <f>IF(Q36="","",Q36/11)</f>
        <v>7.7272727272727275</v>
      </c>
      <c r="S36" s="15">
        <f>IF(R36="","",1+COUNTIF($R$2:$R$116,"&gt;"&amp;R36))</f>
        <v>24</v>
      </c>
      <c r="T36" s="15" t="str">
        <f>IF(Table_2e_trimestre_H[[#This Row],[Moyenne]]&gt;=5,"Validé","Non Validé")</f>
        <v>Validé</v>
      </c>
    </row>
    <row r="37" spans="1:20" s="12" customFormat="1" ht="20.25">
      <c r="A37" s="15">
        <v>36</v>
      </c>
      <c r="B37" s="15" t="s">
        <v>115</v>
      </c>
      <c r="C37" s="15" t="s">
        <v>20</v>
      </c>
      <c r="D37" s="18">
        <v>8</v>
      </c>
      <c r="E37" s="18">
        <v>2</v>
      </c>
      <c r="F37" s="16">
        <v>6</v>
      </c>
      <c r="G37" s="16">
        <v>10</v>
      </c>
      <c r="H37" s="16">
        <v>8</v>
      </c>
      <c r="I37" s="16">
        <v>5</v>
      </c>
      <c r="J37" s="16">
        <v>7</v>
      </c>
      <c r="K37" s="16">
        <v>6</v>
      </c>
      <c r="L37" s="16">
        <v>5</v>
      </c>
      <c r="M37" s="16">
        <v>7</v>
      </c>
      <c r="N37" s="16">
        <v>4</v>
      </c>
      <c r="O37" s="16">
        <v>7</v>
      </c>
      <c r="P37" s="16">
        <v>8</v>
      </c>
      <c r="Q37" s="16">
        <f>IF(COUNTA(F37:P37)=0,"",SUM(F37:P37))</f>
        <v>73</v>
      </c>
      <c r="R37" s="17">
        <f>IF(Q37="","",Q37/11)</f>
        <v>6.6363636363636367</v>
      </c>
      <c r="S37" s="15">
        <f>IF(R37="","",1+COUNTIF($R$2:$R$116,"&gt;"&amp;R37))</f>
        <v>57</v>
      </c>
      <c r="T37" s="15" t="str">
        <f>IF(Table_2e_trimestre_H[[#This Row],[Moyenne]]&gt;=5,"Validé","Non Validé")</f>
        <v>Validé</v>
      </c>
    </row>
    <row r="38" spans="1:20" s="12" customFormat="1" ht="20.25">
      <c r="A38" s="15">
        <v>37</v>
      </c>
      <c r="B38" s="15" t="s">
        <v>116</v>
      </c>
      <c r="C38" s="15" t="s">
        <v>20</v>
      </c>
      <c r="D38" s="18">
        <v>8</v>
      </c>
      <c r="E38" s="18">
        <v>2</v>
      </c>
      <c r="F38" s="16">
        <v>3</v>
      </c>
      <c r="G38" s="16">
        <v>9</v>
      </c>
      <c r="H38" s="16">
        <v>8</v>
      </c>
      <c r="I38" s="16">
        <v>1</v>
      </c>
      <c r="J38" s="16">
        <v>4</v>
      </c>
      <c r="K38" s="16">
        <v>4</v>
      </c>
      <c r="L38" s="16">
        <v>1</v>
      </c>
      <c r="M38" s="16">
        <v>5</v>
      </c>
      <c r="N38" s="16">
        <v>0</v>
      </c>
      <c r="O38" s="16">
        <v>7</v>
      </c>
      <c r="P38" s="16">
        <v>4</v>
      </c>
      <c r="Q38" s="16">
        <f>IF(COUNTA(F38:P38)=0,"",SUM(F38:P38))</f>
        <v>46</v>
      </c>
      <c r="R38" s="17">
        <f>IF(Q38="","",Q38/11)</f>
        <v>4.1818181818181817</v>
      </c>
      <c r="S38" s="15">
        <f>IF(R38="","",1+COUNTIF($R$2:$R$116,"&gt;"&amp;R38))</f>
        <v>112</v>
      </c>
      <c r="T38" s="15" t="str">
        <f>IF(Table_2e_trimestre_H[[#This Row],[Moyenne]]&gt;=5,"Validé","Non Validé")</f>
        <v>Non Validé</v>
      </c>
    </row>
    <row r="39" spans="1:20" s="11" customFormat="1" ht="20.25">
      <c r="A39" s="8">
        <v>38</v>
      </c>
      <c r="B39" s="8" t="s">
        <v>50</v>
      </c>
      <c r="C39" s="8" t="s">
        <v>18</v>
      </c>
      <c r="D39" s="7">
        <v>8</v>
      </c>
      <c r="E39" s="7">
        <v>2</v>
      </c>
      <c r="F39" s="13">
        <v>7</v>
      </c>
      <c r="G39" s="13">
        <v>8</v>
      </c>
      <c r="H39" s="13">
        <v>8</v>
      </c>
      <c r="I39" s="13">
        <v>5</v>
      </c>
      <c r="J39" s="13">
        <v>7</v>
      </c>
      <c r="K39" s="13">
        <v>7</v>
      </c>
      <c r="L39" s="13">
        <v>3</v>
      </c>
      <c r="M39" s="13">
        <v>8</v>
      </c>
      <c r="N39" s="13">
        <v>5</v>
      </c>
      <c r="O39" s="13">
        <v>8</v>
      </c>
      <c r="P39" s="13">
        <v>6</v>
      </c>
      <c r="Q39" s="13">
        <f>IF(COUNTA(F39:P39)=0,"",SUM(F39:P39))</f>
        <v>72</v>
      </c>
      <c r="R39" s="14">
        <f>IF(Q39="","",Q39/11)</f>
        <v>6.5454545454545459</v>
      </c>
      <c r="S39" s="8">
        <f>IF(R39="","",1+COUNTIF($R$2:$R$116,"&gt;"&amp;R39))</f>
        <v>59</v>
      </c>
      <c r="T39" s="8" t="str">
        <f>IF(Table_2e_trimestre_H[[#This Row],[Moyenne]]&gt;=5,"Validé","Non Validé")</f>
        <v>Validé</v>
      </c>
    </row>
    <row r="40" spans="1:20" s="11" customFormat="1" ht="20.25">
      <c r="A40" s="8">
        <v>39</v>
      </c>
      <c r="B40" s="8" t="s">
        <v>51</v>
      </c>
      <c r="C40" s="8" t="s">
        <v>18</v>
      </c>
      <c r="D40" s="7">
        <v>8</v>
      </c>
      <c r="E40" s="7">
        <v>2</v>
      </c>
      <c r="F40" s="13">
        <v>7</v>
      </c>
      <c r="G40" s="13">
        <v>10</v>
      </c>
      <c r="H40" s="13">
        <v>8</v>
      </c>
      <c r="I40" s="13">
        <v>5</v>
      </c>
      <c r="J40" s="13">
        <v>6</v>
      </c>
      <c r="K40" s="13">
        <v>8</v>
      </c>
      <c r="L40" s="13">
        <v>0</v>
      </c>
      <c r="M40" s="13">
        <v>7</v>
      </c>
      <c r="N40" s="13">
        <v>6</v>
      </c>
      <c r="O40" s="13">
        <v>9</v>
      </c>
      <c r="P40" s="13">
        <v>8</v>
      </c>
      <c r="Q40" s="13">
        <f>IF(COUNTA(F40:P40)=0,"",SUM(F40:P40))</f>
        <v>74</v>
      </c>
      <c r="R40" s="14">
        <f>IF(Q40="","",Q40/11)</f>
        <v>6.7272727272727275</v>
      </c>
      <c r="S40" s="8">
        <f>IF(R40="","",1+COUNTIF($R$2:$R$116,"&gt;"&amp;R40))</f>
        <v>51</v>
      </c>
      <c r="T40" s="8" t="str">
        <f>IF(Table_2e_trimestre_H[[#This Row],[Moyenne]]&gt;=5,"Validé","Non Validé")</f>
        <v>Validé</v>
      </c>
    </row>
    <row r="41" spans="1:20" s="11" customFormat="1" ht="20.25">
      <c r="A41" s="8">
        <v>40</v>
      </c>
      <c r="B41" s="8" t="s">
        <v>117</v>
      </c>
      <c r="C41" s="8" t="s">
        <v>18</v>
      </c>
      <c r="D41" s="7">
        <v>8</v>
      </c>
      <c r="E41" s="7">
        <v>2</v>
      </c>
      <c r="F41" s="13">
        <v>9</v>
      </c>
      <c r="G41" s="13">
        <v>7</v>
      </c>
      <c r="H41" s="13">
        <v>8</v>
      </c>
      <c r="I41" s="13">
        <v>3</v>
      </c>
      <c r="J41" s="13">
        <v>7</v>
      </c>
      <c r="K41" s="13">
        <v>7</v>
      </c>
      <c r="L41" s="13">
        <v>1</v>
      </c>
      <c r="M41" s="13">
        <v>8</v>
      </c>
      <c r="N41" s="13">
        <v>6</v>
      </c>
      <c r="O41" s="13">
        <v>6</v>
      </c>
      <c r="P41" s="13">
        <v>6</v>
      </c>
      <c r="Q41" s="13">
        <f>IF(COUNTA(F41:P41)=0,"",SUM(F41:P41))</f>
        <v>68</v>
      </c>
      <c r="R41" s="14">
        <f>IF(Q41="","",Q41/11)</f>
        <v>6.1818181818181817</v>
      </c>
      <c r="S41" s="8">
        <f>IF(R41="","",1+COUNTIF($R$2:$R$116,"&gt;"&amp;R41))</f>
        <v>69</v>
      </c>
      <c r="T41" s="8" t="str">
        <f>IF(Table_2e_trimestre_H[[#This Row],[Moyenne]]&gt;=5,"Validé","Non Validé")</f>
        <v>Validé</v>
      </c>
    </row>
    <row r="42" spans="1:20" s="12" customFormat="1" ht="20.25">
      <c r="A42" s="15">
        <v>42</v>
      </c>
      <c r="B42" s="15" t="s">
        <v>53</v>
      </c>
      <c r="C42" s="15" t="s">
        <v>20</v>
      </c>
      <c r="D42" s="18">
        <v>8</v>
      </c>
      <c r="E42" s="18">
        <v>2</v>
      </c>
      <c r="F42" s="16">
        <v>10</v>
      </c>
      <c r="G42" s="16">
        <v>10</v>
      </c>
      <c r="H42" s="16">
        <v>10</v>
      </c>
      <c r="I42" s="16">
        <v>10</v>
      </c>
      <c r="J42" s="16">
        <v>8</v>
      </c>
      <c r="K42" s="16">
        <v>9</v>
      </c>
      <c r="L42" s="16">
        <v>4</v>
      </c>
      <c r="M42" s="16">
        <v>8</v>
      </c>
      <c r="N42" s="16">
        <v>8</v>
      </c>
      <c r="O42" s="16">
        <v>10</v>
      </c>
      <c r="P42" s="16">
        <v>10</v>
      </c>
      <c r="Q42" s="16">
        <f>IF(COUNTA(F42:P42)=0,"",SUM(F42:P42))</f>
        <v>97</v>
      </c>
      <c r="R42" s="17">
        <f>IF(Q42="","",Q42/11)</f>
        <v>8.8181818181818183</v>
      </c>
      <c r="S42" s="15">
        <f>IF(R42="","",1+COUNTIF($R$2:$R$116,"&gt;"&amp;R42))</f>
        <v>5</v>
      </c>
      <c r="T42" s="15" t="str">
        <f>IF(Table_2e_trimestre_H[[#This Row],[Moyenne]]&gt;=5,"Validé","Non Validé")</f>
        <v>Validé</v>
      </c>
    </row>
    <row r="43" spans="1:20" s="12" customFormat="1" ht="20.25">
      <c r="A43" s="15">
        <v>41</v>
      </c>
      <c r="B43" s="15" t="s">
        <v>52</v>
      </c>
      <c r="C43" s="15" t="s">
        <v>20</v>
      </c>
      <c r="D43" s="18">
        <v>8</v>
      </c>
      <c r="E43" s="18">
        <v>2</v>
      </c>
      <c r="F43" s="16">
        <v>10</v>
      </c>
      <c r="G43" s="16">
        <v>10</v>
      </c>
      <c r="H43" s="16">
        <v>8</v>
      </c>
      <c r="I43" s="16">
        <v>9</v>
      </c>
      <c r="J43" s="16">
        <v>7</v>
      </c>
      <c r="K43" s="16">
        <v>8</v>
      </c>
      <c r="L43" s="16">
        <v>7</v>
      </c>
      <c r="M43" s="16">
        <v>7</v>
      </c>
      <c r="N43" s="16">
        <v>2</v>
      </c>
      <c r="O43" s="16">
        <v>10</v>
      </c>
      <c r="P43" s="16">
        <v>10</v>
      </c>
      <c r="Q43" s="16">
        <f>IF(COUNTA(F43:P43)=0,"",SUM(F43:P43))</f>
        <v>88</v>
      </c>
      <c r="R43" s="17">
        <f>IF(Q43="","",Q43/11)</f>
        <v>8</v>
      </c>
      <c r="S43" s="15">
        <f>IF(R43="","",1+COUNTIF($R$2:$R$116,"&gt;"&amp;R43))</f>
        <v>22</v>
      </c>
      <c r="T43" s="15" t="str">
        <f>IF(Table_2e_trimestre_H[[#This Row],[Moyenne]]&gt;=5,"Validé","Non Validé")</f>
        <v>Validé</v>
      </c>
    </row>
    <row r="44" spans="1:20" s="12" customFormat="1" ht="20.25">
      <c r="A44" s="15">
        <v>43</v>
      </c>
      <c r="B44" s="15" t="s">
        <v>54</v>
      </c>
      <c r="C44" s="15" t="s">
        <v>20</v>
      </c>
      <c r="D44" s="18">
        <v>8</v>
      </c>
      <c r="E44" s="18">
        <v>2</v>
      </c>
      <c r="F44" s="16">
        <v>8</v>
      </c>
      <c r="G44" s="16">
        <v>10</v>
      </c>
      <c r="H44" s="16">
        <v>7</v>
      </c>
      <c r="I44" s="16">
        <v>7</v>
      </c>
      <c r="J44" s="16">
        <v>6</v>
      </c>
      <c r="K44" s="16">
        <v>7</v>
      </c>
      <c r="L44" s="16">
        <v>4</v>
      </c>
      <c r="M44" s="16">
        <v>5</v>
      </c>
      <c r="N44" s="16">
        <v>7</v>
      </c>
      <c r="O44" s="16">
        <v>9</v>
      </c>
      <c r="P44" s="16">
        <v>10</v>
      </c>
      <c r="Q44" s="16">
        <f>IF(COUNTA(F44:P44)=0,"",SUM(F44:P44))</f>
        <v>80</v>
      </c>
      <c r="R44" s="17">
        <f>IF(Q44="","",Q44/11)</f>
        <v>7.2727272727272725</v>
      </c>
      <c r="S44" s="15">
        <f>IF(R44="","",1+COUNTIF($R$2:$R$116,"&gt;"&amp;R44))</f>
        <v>37</v>
      </c>
      <c r="T44" s="15" t="str">
        <f>IF(Table_2e_trimestre_H[[#This Row],[Moyenne]]&gt;=5,"Validé","Non Validé")</f>
        <v>Validé</v>
      </c>
    </row>
    <row r="45" spans="1:20" s="12" customFormat="1" ht="20.25">
      <c r="A45" s="15">
        <v>44</v>
      </c>
      <c r="B45" s="15" t="s">
        <v>55</v>
      </c>
      <c r="C45" s="15" t="s">
        <v>20</v>
      </c>
      <c r="D45" s="18">
        <v>8</v>
      </c>
      <c r="E45" s="18">
        <v>2</v>
      </c>
      <c r="F45" s="16">
        <v>7</v>
      </c>
      <c r="G45" s="16">
        <v>9</v>
      </c>
      <c r="H45" s="16">
        <v>8</v>
      </c>
      <c r="I45" s="16">
        <v>8</v>
      </c>
      <c r="J45" s="16">
        <v>8</v>
      </c>
      <c r="K45" s="16">
        <v>7</v>
      </c>
      <c r="L45" s="16">
        <v>3</v>
      </c>
      <c r="M45" s="16">
        <v>7</v>
      </c>
      <c r="N45" s="16">
        <v>5</v>
      </c>
      <c r="O45" s="16">
        <v>9</v>
      </c>
      <c r="P45" s="16">
        <v>8</v>
      </c>
      <c r="Q45" s="16">
        <f>IF(COUNTA(F45:P45)=0,"",SUM(F45:P45))</f>
        <v>79</v>
      </c>
      <c r="R45" s="17">
        <f>IF(Q45="","",Q45/11)</f>
        <v>7.1818181818181817</v>
      </c>
      <c r="S45" s="15">
        <f>IF(R45="","",1+COUNTIF($R$2:$R$116,"&gt;"&amp;R45))</f>
        <v>40</v>
      </c>
      <c r="T45" s="15" t="str">
        <f>IF(Table_2e_trimestre_H[[#This Row],[Moyenne]]&gt;=5,"Validé","Non Validé")</f>
        <v>Validé</v>
      </c>
    </row>
    <row r="46" spans="1:20" s="12" customFormat="1" ht="20.25">
      <c r="A46" s="15">
        <v>45</v>
      </c>
      <c r="B46" s="15" t="s">
        <v>56</v>
      </c>
      <c r="C46" s="15" t="s">
        <v>20</v>
      </c>
      <c r="D46" s="18">
        <v>9</v>
      </c>
      <c r="E46" s="18">
        <v>2</v>
      </c>
      <c r="F46" s="16">
        <v>10</v>
      </c>
      <c r="G46" s="16">
        <v>10</v>
      </c>
      <c r="H46" s="16">
        <v>9</v>
      </c>
      <c r="I46" s="16">
        <v>10</v>
      </c>
      <c r="J46" s="16">
        <v>9</v>
      </c>
      <c r="K46" s="16">
        <v>9</v>
      </c>
      <c r="L46" s="16">
        <v>3</v>
      </c>
      <c r="M46" s="16">
        <v>8</v>
      </c>
      <c r="N46" s="16">
        <v>8</v>
      </c>
      <c r="O46" s="16">
        <v>10</v>
      </c>
      <c r="P46" s="16">
        <v>10</v>
      </c>
      <c r="Q46" s="16">
        <f>IF(COUNTA(F46:P46)=0,"",SUM(F46:P46))</f>
        <v>96</v>
      </c>
      <c r="R46" s="17">
        <f>IF(Q46="","",Q46/11)</f>
        <v>8.7272727272727266</v>
      </c>
      <c r="S46" s="15">
        <f>IF(R46="","",1+COUNTIF($R$2:$R$116,"&gt;"&amp;R46))</f>
        <v>7</v>
      </c>
      <c r="T46" s="15" t="str">
        <f>IF(Table_2e_trimestre_H[[#This Row],[Moyenne]]&gt;=5,"Validé","Non Validé")</f>
        <v>Validé</v>
      </c>
    </row>
    <row r="47" spans="1:20" s="12" customFormat="1" ht="20.25">
      <c r="A47" s="15">
        <v>46</v>
      </c>
      <c r="B47" s="15" t="s">
        <v>118</v>
      </c>
      <c r="C47" s="15" t="s">
        <v>20</v>
      </c>
      <c r="D47" s="18">
        <v>7</v>
      </c>
      <c r="E47" s="18">
        <v>2</v>
      </c>
      <c r="F47" s="16">
        <v>8</v>
      </c>
      <c r="G47" s="16">
        <v>10</v>
      </c>
      <c r="H47" s="16">
        <v>8</v>
      </c>
      <c r="I47" s="16">
        <v>8</v>
      </c>
      <c r="J47" s="16">
        <v>8</v>
      </c>
      <c r="K47" s="16">
        <v>8</v>
      </c>
      <c r="L47" s="16">
        <v>1</v>
      </c>
      <c r="M47" s="16">
        <v>4</v>
      </c>
      <c r="N47" s="16">
        <v>5</v>
      </c>
      <c r="O47" s="16">
        <v>8</v>
      </c>
      <c r="P47" s="16">
        <v>10</v>
      </c>
      <c r="Q47" s="16">
        <f>IF(COUNTA(F47:P47)=0,"",SUM(F47:P47))</f>
        <v>78</v>
      </c>
      <c r="R47" s="17">
        <f>IF(Q47="","",Q47/11)</f>
        <v>7.0909090909090908</v>
      </c>
      <c r="S47" s="15">
        <f>IF(R47="","",1+COUNTIF($R$2:$R$116,"&gt;"&amp;R47))</f>
        <v>41</v>
      </c>
      <c r="T47" s="15" t="str">
        <f>IF(Table_2e_trimestre_H[[#This Row],[Moyenne]]&gt;=5,"Validé","Non Validé")</f>
        <v>Validé</v>
      </c>
    </row>
    <row r="48" spans="1:20" s="12" customFormat="1" ht="20.25">
      <c r="A48" s="15">
        <v>47</v>
      </c>
      <c r="B48" s="15" t="s">
        <v>57</v>
      </c>
      <c r="C48" s="15" t="s">
        <v>20</v>
      </c>
      <c r="D48" s="18">
        <v>8</v>
      </c>
      <c r="E48" s="18">
        <v>2</v>
      </c>
      <c r="F48" s="16">
        <v>6</v>
      </c>
      <c r="G48" s="16">
        <v>10</v>
      </c>
      <c r="H48" s="16">
        <v>8</v>
      </c>
      <c r="I48" s="16">
        <v>8</v>
      </c>
      <c r="J48" s="16">
        <v>6</v>
      </c>
      <c r="K48" s="16">
        <v>6</v>
      </c>
      <c r="L48" s="16">
        <v>5</v>
      </c>
      <c r="M48" s="16">
        <v>7</v>
      </c>
      <c r="N48" s="16">
        <v>5</v>
      </c>
      <c r="O48" s="16">
        <v>7</v>
      </c>
      <c r="P48" s="16">
        <v>10</v>
      </c>
      <c r="Q48" s="16">
        <f>IF(COUNTA(F48:P48)=0,"",SUM(F48:P48))</f>
        <v>78</v>
      </c>
      <c r="R48" s="17">
        <f>IF(Q48="","",Q48/11)</f>
        <v>7.0909090909090908</v>
      </c>
      <c r="S48" s="15">
        <f>IF(R48="","",1+COUNTIF($R$2:$R$116,"&gt;"&amp;R48))</f>
        <v>41</v>
      </c>
      <c r="T48" s="15" t="str">
        <f>IF(Table_2e_trimestre_H[[#This Row],[Moyenne]]&gt;=5,"Validé","Non Validé")</f>
        <v>Validé</v>
      </c>
    </row>
    <row r="49" spans="1:20" s="12" customFormat="1" ht="20.25">
      <c r="A49" s="15">
        <v>48</v>
      </c>
      <c r="B49" s="15" t="s">
        <v>58</v>
      </c>
      <c r="C49" s="15" t="s">
        <v>20</v>
      </c>
      <c r="D49" s="18">
        <v>8</v>
      </c>
      <c r="E49" s="18">
        <v>2</v>
      </c>
      <c r="F49" s="16">
        <v>10</v>
      </c>
      <c r="G49" s="16">
        <v>10</v>
      </c>
      <c r="H49" s="16">
        <v>8</v>
      </c>
      <c r="I49" s="16">
        <v>9</v>
      </c>
      <c r="J49" s="16">
        <v>9</v>
      </c>
      <c r="K49" s="16">
        <v>10</v>
      </c>
      <c r="L49" s="16">
        <v>0</v>
      </c>
      <c r="M49" s="16">
        <v>7</v>
      </c>
      <c r="N49" s="16">
        <v>2</v>
      </c>
      <c r="O49" s="16">
        <v>7</v>
      </c>
      <c r="P49" s="16">
        <v>10</v>
      </c>
      <c r="Q49" s="16">
        <f>IF(COUNTA(F49:P49)=0,"",SUM(F49:P49))</f>
        <v>82</v>
      </c>
      <c r="R49" s="17">
        <f>IF(Q49="","",Q49/11)</f>
        <v>7.4545454545454541</v>
      </c>
      <c r="S49" s="15">
        <f>IF(R49="","",1+COUNTIF($R$2:$R$116,"&gt;"&amp;R49))</f>
        <v>27</v>
      </c>
      <c r="T49" s="15" t="str">
        <f>IF(Table_2e_trimestre_H[[#This Row],[Moyenne]]&gt;=5,"Validé","Non Validé")</f>
        <v>Validé</v>
      </c>
    </row>
    <row r="50" spans="1:20" s="12" customFormat="1" ht="20.25">
      <c r="A50" s="8">
        <v>55</v>
      </c>
      <c r="B50" s="8" t="s">
        <v>59</v>
      </c>
      <c r="C50" s="8" t="s">
        <v>18</v>
      </c>
      <c r="D50" s="7">
        <v>8</v>
      </c>
      <c r="E50" s="7">
        <v>2</v>
      </c>
      <c r="F50" s="13">
        <v>6</v>
      </c>
      <c r="G50" s="13">
        <v>10</v>
      </c>
      <c r="H50" s="13">
        <v>8</v>
      </c>
      <c r="I50" s="13">
        <v>6</v>
      </c>
      <c r="J50" s="13">
        <v>6</v>
      </c>
      <c r="K50" s="13">
        <v>7</v>
      </c>
      <c r="L50" s="13">
        <v>2</v>
      </c>
      <c r="M50" s="13">
        <v>4</v>
      </c>
      <c r="N50" s="13">
        <v>0</v>
      </c>
      <c r="O50" s="13">
        <v>8</v>
      </c>
      <c r="P50" s="13">
        <v>8</v>
      </c>
      <c r="Q50" s="13">
        <f>IF(COUNTA(F50:P50)=0,"",SUM(F50:P50))</f>
        <v>65</v>
      </c>
      <c r="R50" s="14">
        <f>IF(Q50="","",Q50/11)</f>
        <v>5.9090909090909092</v>
      </c>
      <c r="S50" s="8">
        <f>IF(R50="","",1+COUNTIF($R$2:$R$116,"&gt;"&amp;R50))</f>
        <v>80</v>
      </c>
      <c r="T50" s="8" t="str">
        <f>IF(Table_2e_trimestre_H[[#This Row],[Moyenne]]&gt;=5,"Validé","Non Validé")</f>
        <v>Validé</v>
      </c>
    </row>
    <row r="51" spans="1:20" s="11" customFormat="1" ht="20.25">
      <c r="A51" s="15">
        <v>49</v>
      </c>
      <c r="B51" s="15" t="s">
        <v>119</v>
      </c>
      <c r="C51" s="15" t="s">
        <v>20</v>
      </c>
      <c r="D51" s="18">
        <v>8</v>
      </c>
      <c r="E51" s="18">
        <v>2</v>
      </c>
      <c r="F51" s="16">
        <v>10</v>
      </c>
      <c r="G51" s="16">
        <v>10</v>
      </c>
      <c r="H51" s="16">
        <v>9</v>
      </c>
      <c r="I51" s="16">
        <v>10</v>
      </c>
      <c r="J51" s="16">
        <v>9</v>
      </c>
      <c r="K51" s="16">
        <v>7</v>
      </c>
      <c r="L51" s="16">
        <v>8</v>
      </c>
      <c r="M51" s="16">
        <v>7</v>
      </c>
      <c r="N51" s="16">
        <v>7</v>
      </c>
      <c r="O51" s="16">
        <v>8</v>
      </c>
      <c r="P51" s="16">
        <v>10</v>
      </c>
      <c r="Q51" s="16">
        <f>IF(COUNTA(F51:P51)=0,"",SUM(F51:P51))</f>
        <v>95</v>
      </c>
      <c r="R51" s="17">
        <f>IF(Q51="","",Q51/11)</f>
        <v>8.6363636363636367</v>
      </c>
      <c r="S51" s="15">
        <f>IF(R51="","",1+COUNTIF($R$2:$R$116,"&gt;"&amp;R51))</f>
        <v>9</v>
      </c>
      <c r="T51" s="15" t="str">
        <f>IF(Table_2e_trimestre_H[[#This Row],[Moyenne]]&gt;=5,"Validé","Non Validé")</f>
        <v>Validé</v>
      </c>
    </row>
    <row r="52" spans="1:20" s="12" customFormat="1" ht="20.25">
      <c r="A52" s="15">
        <v>56</v>
      </c>
      <c r="B52" s="15" t="s">
        <v>60</v>
      </c>
      <c r="C52" s="15" t="s">
        <v>20</v>
      </c>
      <c r="D52" s="18">
        <v>8</v>
      </c>
      <c r="E52" s="18">
        <v>2</v>
      </c>
      <c r="F52" s="16">
        <v>0</v>
      </c>
      <c r="G52" s="16">
        <v>8</v>
      </c>
      <c r="H52" s="16">
        <v>6</v>
      </c>
      <c r="I52" s="16">
        <v>5</v>
      </c>
      <c r="J52" s="16">
        <v>6</v>
      </c>
      <c r="K52" s="16">
        <v>5</v>
      </c>
      <c r="L52" s="16">
        <v>1</v>
      </c>
      <c r="M52" s="16">
        <v>6</v>
      </c>
      <c r="N52" s="16">
        <v>2</v>
      </c>
      <c r="O52" s="16">
        <v>8</v>
      </c>
      <c r="P52" s="16">
        <v>8</v>
      </c>
      <c r="Q52" s="16">
        <f>IF(COUNTA(F52:P52)=0,"",SUM(F52:P52))</f>
        <v>55</v>
      </c>
      <c r="R52" s="17">
        <f>IF(Q52="","",Q52/11)</f>
        <v>5</v>
      </c>
      <c r="S52" s="15">
        <f>IF(R52="","",1+COUNTIF($R$2:$R$116,"&gt;"&amp;R52))</f>
        <v>109</v>
      </c>
      <c r="T52" s="15" t="str">
        <f>IF(Table_2e_trimestre_H[[#This Row],[Moyenne]]&gt;=5,"Validé","Non Validé")</f>
        <v>Validé</v>
      </c>
    </row>
    <row r="53" spans="1:20" s="11" customFormat="1" ht="20.25">
      <c r="A53" s="15">
        <v>57</v>
      </c>
      <c r="B53" s="15" t="s">
        <v>61</v>
      </c>
      <c r="C53" s="15" t="s">
        <v>20</v>
      </c>
      <c r="D53" s="18">
        <v>8</v>
      </c>
      <c r="E53" s="18">
        <v>2</v>
      </c>
      <c r="F53" s="16">
        <v>8</v>
      </c>
      <c r="G53" s="16">
        <v>10</v>
      </c>
      <c r="H53" s="16">
        <v>8</v>
      </c>
      <c r="I53" s="16">
        <v>5</v>
      </c>
      <c r="J53" s="16">
        <v>9</v>
      </c>
      <c r="K53" s="16">
        <v>10</v>
      </c>
      <c r="L53" s="16">
        <v>0</v>
      </c>
      <c r="M53" s="16">
        <v>6</v>
      </c>
      <c r="N53" s="16">
        <v>0</v>
      </c>
      <c r="O53" s="16">
        <v>6</v>
      </c>
      <c r="P53" s="16">
        <v>8</v>
      </c>
      <c r="Q53" s="16">
        <f>IF(COUNTA(F53:P53)=0,"",SUM(F53:P53))</f>
        <v>70</v>
      </c>
      <c r="R53" s="17">
        <f>IF(Q53="","",Q53/11)</f>
        <v>6.3636363636363633</v>
      </c>
      <c r="S53" s="15">
        <f>IF(R53="","",1+COUNTIF($R$2:$R$116,"&gt;"&amp;R53))</f>
        <v>65</v>
      </c>
      <c r="T53" s="15" t="str">
        <f>IF(Table_2e_trimestre_H[[#This Row],[Moyenne]]&gt;=5,"Validé","Non Validé")</f>
        <v>Validé</v>
      </c>
    </row>
    <row r="54" spans="1:20" s="3" customFormat="1" ht="20.25">
      <c r="A54" s="8">
        <v>50</v>
      </c>
      <c r="B54" s="8" t="s">
        <v>120</v>
      </c>
      <c r="C54" s="8" t="s">
        <v>18</v>
      </c>
      <c r="D54" s="7">
        <v>8</v>
      </c>
      <c r="E54" s="7">
        <v>2</v>
      </c>
      <c r="F54" s="13">
        <v>10</v>
      </c>
      <c r="G54" s="13">
        <v>10</v>
      </c>
      <c r="H54" s="13">
        <v>8</v>
      </c>
      <c r="I54" s="13">
        <v>10</v>
      </c>
      <c r="J54" s="13">
        <v>8</v>
      </c>
      <c r="K54" s="13">
        <v>8</v>
      </c>
      <c r="L54" s="13">
        <v>8</v>
      </c>
      <c r="M54" s="13">
        <v>8</v>
      </c>
      <c r="N54" s="13">
        <v>9</v>
      </c>
      <c r="O54" s="13">
        <v>10</v>
      </c>
      <c r="P54" s="13">
        <v>0</v>
      </c>
      <c r="Q54" s="13">
        <f>IF(COUNTA(F54:P54)=0,"",SUM(F54:P54))</f>
        <v>89</v>
      </c>
      <c r="R54" s="14">
        <f>IF(Q54="","",Q54/11)</f>
        <v>8.0909090909090917</v>
      </c>
      <c r="S54" s="8">
        <f>IF(R54="","",1+COUNTIF($R$2:$R$116,"&gt;"&amp;R54))</f>
        <v>21</v>
      </c>
      <c r="T54" s="8" t="str">
        <f>IF(Table_2e_trimestre_H[[#This Row],[Moyenne]]&gt;=5,"Validé","Non Validé")</f>
        <v>Validé</v>
      </c>
    </row>
    <row r="55" spans="1:20" s="3" customFormat="1" ht="20.25">
      <c r="A55" s="15">
        <v>51</v>
      </c>
      <c r="B55" s="15" t="s">
        <v>121</v>
      </c>
      <c r="C55" s="15" t="s">
        <v>20</v>
      </c>
      <c r="D55" s="18">
        <v>8</v>
      </c>
      <c r="E55" s="18">
        <v>2</v>
      </c>
      <c r="F55" s="16">
        <v>8</v>
      </c>
      <c r="G55" s="16">
        <v>10</v>
      </c>
      <c r="H55" s="16">
        <v>8</v>
      </c>
      <c r="I55" s="16">
        <v>3</v>
      </c>
      <c r="J55" s="16">
        <v>8</v>
      </c>
      <c r="K55" s="16">
        <v>10</v>
      </c>
      <c r="L55" s="16">
        <v>0</v>
      </c>
      <c r="M55" s="16">
        <v>8</v>
      </c>
      <c r="N55" s="16">
        <v>2</v>
      </c>
      <c r="O55" s="16">
        <v>7</v>
      </c>
      <c r="P55" s="16">
        <v>8</v>
      </c>
      <c r="Q55" s="16">
        <f>IF(COUNTA(F55:P55)=0,"",SUM(F55:P55))</f>
        <v>72</v>
      </c>
      <c r="R55" s="17">
        <f>IF(Q55="","",Q55/11)</f>
        <v>6.5454545454545459</v>
      </c>
      <c r="S55" s="15">
        <f>IF(R55="","",1+COUNTIF($R$2:$R$116,"&gt;"&amp;R55))</f>
        <v>59</v>
      </c>
      <c r="T55" s="15" t="str">
        <f>IF(Table_2e_trimestre_H[[#This Row],[Moyenne]]&gt;=5,"Validé","Non Validé")</f>
        <v>Validé</v>
      </c>
    </row>
    <row r="56" spans="1:20" ht="20.25">
      <c r="A56" s="15">
        <v>58</v>
      </c>
      <c r="B56" s="15" t="s">
        <v>62</v>
      </c>
      <c r="C56" s="15" t="s">
        <v>20</v>
      </c>
      <c r="D56" s="18">
        <v>8</v>
      </c>
      <c r="E56" s="18">
        <v>2</v>
      </c>
      <c r="F56" s="16">
        <v>8</v>
      </c>
      <c r="G56" s="16">
        <v>10</v>
      </c>
      <c r="H56" s="16">
        <v>8</v>
      </c>
      <c r="I56" s="16">
        <v>0</v>
      </c>
      <c r="J56" s="16">
        <v>6</v>
      </c>
      <c r="K56" s="16">
        <v>6</v>
      </c>
      <c r="L56" s="16">
        <v>0</v>
      </c>
      <c r="M56" s="16">
        <v>6</v>
      </c>
      <c r="N56" s="16">
        <v>0</v>
      </c>
      <c r="O56" s="16">
        <v>6</v>
      </c>
      <c r="P56" s="16">
        <v>10</v>
      </c>
      <c r="Q56" s="16">
        <f>IF(COUNTA(F56:P56)=0,"",SUM(F56:P56))</f>
        <v>60</v>
      </c>
      <c r="R56" s="17">
        <f>IF(Q56="","",Q56/11)</f>
        <v>5.4545454545454541</v>
      </c>
      <c r="S56" s="15">
        <f>IF(R56="","",1+COUNTIF($R$2:$R$116,"&gt;"&amp;R56))</f>
        <v>103</v>
      </c>
      <c r="T56" s="15" t="str">
        <f>IF(Table_2e_trimestre_H[[#This Row],[Moyenne]]&gt;=5,"Validé","Non Validé")</f>
        <v>Validé</v>
      </c>
    </row>
    <row r="57" spans="1:20" s="3" customFormat="1" ht="20.25">
      <c r="A57" s="15">
        <v>59</v>
      </c>
      <c r="B57" s="15" t="s">
        <v>63</v>
      </c>
      <c r="C57" s="15" t="s">
        <v>20</v>
      </c>
      <c r="D57" s="18">
        <v>8</v>
      </c>
      <c r="E57" s="18">
        <v>2</v>
      </c>
      <c r="F57" s="16">
        <v>10</v>
      </c>
      <c r="G57" s="16">
        <v>10</v>
      </c>
      <c r="H57" s="16">
        <v>8</v>
      </c>
      <c r="I57" s="16">
        <v>2</v>
      </c>
      <c r="J57" s="16">
        <v>7</v>
      </c>
      <c r="K57" s="16">
        <v>5</v>
      </c>
      <c r="L57" s="16">
        <v>2</v>
      </c>
      <c r="M57" s="16">
        <v>7</v>
      </c>
      <c r="N57" s="16">
        <v>0</v>
      </c>
      <c r="O57" s="16">
        <v>8</v>
      </c>
      <c r="P57" s="16">
        <v>10</v>
      </c>
      <c r="Q57" s="16">
        <f>IF(COUNTA(F57:P57)=0,"",SUM(F57:P57))</f>
        <v>69</v>
      </c>
      <c r="R57" s="17">
        <f>IF(Q57="","",Q57/11)</f>
        <v>6.2727272727272725</v>
      </c>
      <c r="S57" s="15">
        <f>IF(R57="","",1+COUNTIF($R$2:$R$116,"&gt;"&amp;R57))</f>
        <v>66</v>
      </c>
      <c r="T57" s="15" t="str">
        <f>IF(Table_2e_trimestre_H[[#This Row],[Moyenne]]&gt;=5,"Validé","Non Validé")</f>
        <v>Validé</v>
      </c>
    </row>
    <row r="58" spans="1:20" s="3" customFormat="1" ht="20.25">
      <c r="A58" s="8">
        <v>52</v>
      </c>
      <c r="B58" s="8" t="s">
        <v>122</v>
      </c>
      <c r="C58" s="8" t="s">
        <v>18</v>
      </c>
      <c r="D58" s="7">
        <v>8</v>
      </c>
      <c r="E58" s="7">
        <v>2</v>
      </c>
      <c r="F58" s="13">
        <v>2</v>
      </c>
      <c r="G58" s="13">
        <v>8</v>
      </c>
      <c r="H58" s="13">
        <v>8</v>
      </c>
      <c r="I58" s="13">
        <v>2</v>
      </c>
      <c r="J58" s="13">
        <v>8</v>
      </c>
      <c r="K58" s="13">
        <v>8</v>
      </c>
      <c r="L58" s="13">
        <v>0</v>
      </c>
      <c r="M58" s="13">
        <v>7</v>
      </c>
      <c r="N58" s="13">
        <v>4</v>
      </c>
      <c r="O58" s="13">
        <v>10</v>
      </c>
      <c r="P58" s="13">
        <v>10</v>
      </c>
      <c r="Q58" s="13">
        <f>IF(COUNTA(F58:P58)=0,"",SUM(F58:P58))</f>
        <v>67</v>
      </c>
      <c r="R58" s="14">
        <f>IF(Q58="","",Q58/11)</f>
        <v>6.0909090909090908</v>
      </c>
      <c r="S58" s="8">
        <f>IF(R58="","",1+COUNTIF($R$2:$R$116,"&gt;"&amp;R58))</f>
        <v>73</v>
      </c>
      <c r="T58" s="8" t="str">
        <f>IF(Table_2e_trimestre_H[[#This Row],[Moyenne]]&gt;=5,"Validé","Non Validé")</f>
        <v>Validé</v>
      </c>
    </row>
    <row r="59" spans="1:20" s="3" customFormat="1" ht="20.25">
      <c r="A59" s="8">
        <v>60</v>
      </c>
      <c r="B59" s="8" t="s">
        <v>64</v>
      </c>
      <c r="C59" s="8" t="s">
        <v>18</v>
      </c>
      <c r="D59" s="7">
        <v>8</v>
      </c>
      <c r="E59" s="7">
        <v>2</v>
      </c>
      <c r="F59" s="13">
        <v>10</v>
      </c>
      <c r="G59" s="13">
        <v>10</v>
      </c>
      <c r="H59" s="13">
        <v>6</v>
      </c>
      <c r="I59" s="13">
        <v>6</v>
      </c>
      <c r="J59" s="13">
        <v>7</v>
      </c>
      <c r="K59" s="13">
        <v>7</v>
      </c>
      <c r="L59" s="13">
        <v>2</v>
      </c>
      <c r="M59" s="13">
        <v>9</v>
      </c>
      <c r="N59" s="13">
        <v>9</v>
      </c>
      <c r="O59" s="13">
        <v>10</v>
      </c>
      <c r="P59" s="13">
        <v>10</v>
      </c>
      <c r="Q59" s="13">
        <f>IF(COUNTA(F59:P59)=0,"",SUM(F59:P59))</f>
        <v>86</v>
      </c>
      <c r="R59" s="14">
        <f>IF(Q59="","",Q59/11)</f>
        <v>7.8181818181818183</v>
      </c>
      <c r="S59" s="8">
        <f>IF(R59="","",1+COUNTIF($R$2:$R$116,"&gt;"&amp;R59))</f>
        <v>23</v>
      </c>
      <c r="T59" s="8" t="str">
        <f>IF(Table_2e_trimestre_H[[#This Row],[Moyenne]]&gt;=5,"Validé","Non Validé")</f>
        <v>Validé</v>
      </c>
    </row>
    <row r="60" spans="1:20" s="3" customFormat="1" ht="20.25">
      <c r="A60" s="8">
        <v>61</v>
      </c>
      <c r="B60" s="8" t="s">
        <v>65</v>
      </c>
      <c r="C60" s="8" t="s">
        <v>18</v>
      </c>
      <c r="D60" s="7">
        <v>8</v>
      </c>
      <c r="E60" s="7">
        <v>2</v>
      </c>
      <c r="F60" s="13">
        <v>10</v>
      </c>
      <c r="G60" s="13">
        <v>9</v>
      </c>
      <c r="H60" s="13">
        <v>10</v>
      </c>
      <c r="I60" s="13">
        <v>10</v>
      </c>
      <c r="J60" s="13">
        <v>7</v>
      </c>
      <c r="K60" s="13">
        <v>7</v>
      </c>
      <c r="L60" s="13">
        <v>7</v>
      </c>
      <c r="M60" s="13">
        <v>8</v>
      </c>
      <c r="N60" s="13">
        <v>6</v>
      </c>
      <c r="O60" s="13">
        <v>10</v>
      </c>
      <c r="P60" s="13">
        <v>10</v>
      </c>
      <c r="Q60" s="13">
        <f>IF(COUNTA(F60:P60)=0,"",SUM(F60:P60))</f>
        <v>94</v>
      </c>
      <c r="R60" s="14">
        <f>IF(Q60="","",Q60/11)</f>
        <v>8.545454545454545</v>
      </c>
      <c r="S60" s="8">
        <f>IF(R60="","",1+COUNTIF($R$2:$R$116,"&gt;"&amp;R60))</f>
        <v>10</v>
      </c>
      <c r="T60" s="8" t="str">
        <f>IF(Table_2e_trimestre_H[[#This Row],[Moyenne]]&gt;=5,"Validé","Non Validé")</f>
        <v>Validé</v>
      </c>
    </row>
    <row r="61" spans="1:20" ht="20.25">
      <c r="A61" s="8">
        <v>62</v>
      </c>
      <c r="B61" s="8" t="s">
        <v>66</v>
      </c>
      <c r="C61" s="8" t="s">
        <v>18</v>
      </c>
      <c r="D61" s="7">
        <v>8</v>
      </c>
      <c r="E61" s="7">
        <v>2</v>
      </c>
      <c r="F61" s="13">
        <v>8</v>
      </c>
      <c r="G61" s="13">
        <v>9</v>
      </c>
      <c r="H61" s="13">
        <v>8</v>
      </c>
      <c r="I61" s="13">
        <v>7</v>
      </c>
      <c r="J61" s="13">
        <v>6</v>
      </c>
      <c r="K61" s="13">
        <v>8</v>
      </c>
      <c r="L61" s="13">
        <v>0</v>
      </c>
      <c r="M61" s="13">
        <v>7</v>
      </c>
      <c r="N61" s="13">
        <v>5</v>
      </c>
      <c r="O61" s="13">
        <v>6</v>
      </c>
      <c r="P61" s="13">
        <v>10</v>
      </c>
      <c r="Q61" s="13">
        <f>IF(COUNTA(F61:P61)=0,"",SUM(F61:P61))</f>
        <v>74</v>
      </c>
      <c r="R61" s="14">
        <f>IF(Q61="","",Q61/11)</f>
        <v>6.7272727272727275</v>
      </c>
      <c r="S61" s="8">
        <f>IF(R61="","",1+COUNTIF($R$2:$R$116,"&gt;"&amp;R61))</f>
        <v>51</v>
      </c>
      <c r="T61" s="8" t="str">
        <f>IF(Table_2e_trimestre_H[[#This Row],[Moyenne]]&gt;=5,"Validé","Non Validé")</f>
        <v>Validé</v>
      </c>
    </row>
    <row r="62" spans="1:20" ht="20.25">
      <c r="A62" s="8">
        <v>63</v>
      </c>
      <c r="B62" s="8" t="s">
        <v>67</v>
      </c>
      <c r="C62" s="8" t="s">
        <v>18</v>
      </c>
      <c r="D62" s="7">
        <v>8</v>
      </c>
      <c r="E62" s="7">
        <v>2</v>
      </c>
      <c r="F62" s="13">
        <v>6</v>
      </c>
      <c r="G62" s="13">
        <v>4</v>
      </c>
      <c r="H62" s="13">
        <v>8</v>
      </c>
      <c r="I62" s="13">
        <v>3</v>
      </c>
      <c r="J62" s="13">
        <v>6</v>
      </c>
      <c r="K62" s="13">
        <v>7</v>
      </c>
      <c r="L62" s="13">
        <v>0</v>
      </c>
      <c r="M62" s="13">
        <v>9</v>
      </c>
      <c r="N62" s="13">
        <v>7</v>
      </c>
      <c r="O62" s="13">
        <v>6</v>
      </c>
      <c r="P62" s="13">
        <v>8</v>
      </c>
      <c r="Q62" s="13">
        <f>IF(COUNTA(F62:P62)=0,"",SUM(F62:P62))</f>
        <v>64</v>
      </c>
      <c r="R62" s="14">
        <f>IF(Q62="","",Q62/11)</f>
        <v>5.8181818181818183</v>
      </c>
      <c r="S62" s="8">
        <f>IF(R62="","",1+COUNTIF($R$2:$R$116,"&gt;"&amp;R62))</f>
        <v>83</v>
      </c>
      <c r="T62" s="8" t="str">
        <f>IF(Table_2e_trimestre_H[[#This Row],[Moyenne]]&gt;=5,"Validé","Non Validé")</f>
        <v>Validé</v>
      </c>
    </row>
    <row r="63" spans="1:20" ht="20.25">
      <c r="A63" s="15">
        <v>64</v>
      </c>
      <c r="B63" s="15" t="s">
        <v>68</v>
      </c>
      <c r="C63" s="15" t="s">
        <v>20</v>
      </c>
      <c r="D63" s="18">
        <v>8</v>
      </c>
      <c r="E63" s="18">
        <v>2</v>
      </c>
      <c r="F63" s="16">
        <v>4</v>
      </c>
      <c r="G63" s="16">
        <v>8</v>
      </c>
      <c r="H63" s="16">
        <v>8</v>
      </c>
      <c r="I63" s="16">
        <v>7</v>
      </c>
      <c r="J63" s="16">
        <v>7</v>
      </c>
      <c r="K63" s="16">
        <v>5</v>
      </c>
      <c r="L63" s="16">
        <v>1</v>
      </c>
      <c r="M63" s="16">
        <v>6</v>
      </c>
      <c r="N63" s="16">
        <v>2</v>
      </c>
      <c r="O63" s="16">
        <v>8</v>
      </c>
      <c r="P63" s="16">
        <v>8</v>
      </c>
      <c r="Q63" s="16">
        <f>IF(COUNTA(F63:P63)=0,"",SUM(F63:P63))</f>
        <v>64</v>
      </c>
      <c r="R63" s="17">
        <f>IF(Q63="","",Q63/11)</f>
        <v>5.8181818181818183</v>
      </c>
      <c r="S63" s="15">
        <f>IF(R63="","",1+COUNTIF($R$2:$R$116,"&gt;"&amp;R63))</f>
        <v>83</v>
      </c>
      <c r="T63" s="15" t="str">
        <f>IF(Table_2e_trimestre_H[[#This Row],[Moyenne]]&gt;=5,"Validé","Non Validé")</f>
        <v>Validé</v>
      </c>
    </row>
    <row r="64" spans="1:20" ht="20.25">
      <c r="A64" s="8">
        <v>65</v>
      </c>
      <c r="B64" s="8" t="s">
        <v>69</v>
      </c>
      <c r="C64" s="8" t="s">
        <v>18</v>
      </c>
      <c r="D64" s="7">
        <v>8</v>
      </c>
      <c r="E64" s="7">
        <v>2</v>
      </c>
      <c r="F64" s="13">
        <v>8</v>
      </c>
      <c r="G64" s="13">
        <v>9</v>
      </c>
      <c r="H64" s="13">
        <v>10</v>
      </c>
      <c r="I64" s="13">
        <v>9</v>
      </c>
      <c r="J64" s="13">
        <v>9</v>
      </c>
      <c r="K64" s="13">
        <v>10</v>
      </c>
      <c r="L64" s="13">
        <v>0</v>
      </c>
      <c r="M64" s="13">
        <v>8</v>
      </c>
      <c r="N64" s="13">
        <v>5</v>
      </c>
      <c r="O64" s="13">
        <v>7</v>
      </c>
      <c r="P64" s="13">
        <v>9</v>
      </c>
      <c r="Q64" s="13">
        <f>IF(COUNTA(F64:P64)=0,"",SUM(F64:P64))</f>
        <v>84</v>
      </c>
      <c r="R64" s="14">
        <f>IF(Q64="","",Q64/11)</f>
        <v>7.6363636363636367</v>
      </c>
      <c r="S64" s="8">
        <f>IF(R64="","",1+COUNTIF($R$2:$R$116,"&gt;"&amp;R64))</f>
        <v>25</v>
      </c>
      <c r="T64" s="8" t="str">
        <f>IF(Table_2e_trimestre_H[[#This Row],[Moyenne]]&gt;=5,"Validé","Non Validé")</f>
        <v>Validé</v>
      </c>
    </row>
    <row r="65" spans="1:20" s="3" customFormat="1" ht="20.25">
      <c r="A65" s="8">
        <v>66</v>
      </c>
      <c r="B65" s="8" t="s">
        <v>70</v>
      </c>
      <c r="C65" s="8" t="s">
        <v>18</v>
      </c>
      <c r="D65" s="7">
        <v>8</v>
      </c>
      <c r="E65" s="7">
        <v>2</v>
      </c>
      <c r="F65" s="13">
        <v>8</v>
      </c>
      <c r="G65" s="13">
        <v>5</v>
      </c>
      <c r="H65" s="13">
        <v>7</v>
      </c>
      <c r="I65" s="13">
        <v>8</v>
      </c>
      <c r="J65" s="13">
        <v>8</v>
      </c>
      <c r="K65" s="13">
        <v>10</v>
      </c>
      <c r="L65" s="13">
        <v>4</v>
      </c>
      <c r="M65" s="13">
        <v>7</v>
      </c>
      <c r="N65" s="13">
        <v>7</v>
      </c>
      <c r="O65" s="13">
        <v>10</v>
      </c>
      <c r="P65" s="13">
        <v>6</v>
      </c>
      <c r="Q65" s="13">
        <f>IF(COUNTA(F65:P65)=0,"",SUM(F65:P65))</f>
        <v>80</v>
      </c>
      <c r="R65" s="14">
        <f>IF(Q65="","",Q65/11)</f>
        <v>7.2727272727272725</v>
      </c>
      <c r="S65" s="8">
        <f>IF(R65="","",1+COUNTIF($R$2:$R$116,"&gt;"&amp;R65))</f>
        <v>37</v>
      </c>
      <c r="T65" s="8" t="str">
        <f>IF(Table_2e_trimestre_H[[#This Row],[Moyenne]]&gt;=5,"Validé","Non Validé")</f>
        <v>Validé</v>
      </c>
    </row>
    <row r="66" spans="1:20" ht="20.25">
      <c r="A66" s="15">
        <v>67</v>
      </c>
      <c r="B66" s="15" t="s">
        <v>71</v>
      </c>
      <c r="C66" s="15" t="s">
        <v>20</v>
      </c>
      <c r="D66" s="18">
        <v>8</v>
      </c>
      <c r="E66" s="18">
        <v>2</v>
      </c>
      <c r="F66" s="16">
        <v>8</v>
      </c>
      <c r="G66" s="16">
        <v>10</v>
      </c>
      <c r="H66" s="16">
        <v>8</v>
      </c>
      <c r="I66" s="16">
        <v>8</v>
      </c>
      <c r="J66" s="16">
        <v>10</v>
      </c>
      <c r="K66" s="16">
        <v>9</v>
      </c>
      <c r="L66" s="16">
        <v>3</v>
      </c>
      <c r="M66" s="16">
        <v>3</v>
      </c>
      <c r="N66" s="16">
        <v>3</v>
      </c>
      <c r="O66" s="16">
        <v>10</v>
      </c>
      <c r="P66" s="16">
        <v>10</v>
      </c>
      <c r="Q66" s="16">
        <f>IF(COUNTA(F66:P66)=0,"",SUM(F66:P66))</f>
        <v>82</v>
      </c>
      <c r="R66" s="17">
        <f>IF(Q66="","",Q66/11)</f>
        <v>7.4545454545454541</v>
      </c>
      <c r="S66" s="15">
        <f>IF(R66="","",1+COUNTIF($R$2:$R$116,"&gt;"&amp;R66))</f>
        <v>27</v>
      </c>
      <c r="T66" s="15" t="str">
        <f>IF(Table_2e_trimestre_H[[#This Row],[Moyenne]]&gt;=5,"Validé","Non Validé")</f>
        <v>Validé</v>
      </c>
    </row>
    <row r="67" spans="1:20" ht="20.25">
      <c r="A67" s="15">
        <v>53</v>
      </c>
      <c r="B67" s="15" t="s">
        <v>123</v>
      </c>
      <c r="C67" s="15" t="s">
        <v>20</v>
      </c>
      <c r="D67" s="18">
        <v>8</v>
      </c>
      <c r="E67" s="18">
        <v>2</v>
      </c>
      <c r="F67" s="16">
        <v>8</v>
      </c>
      <c r="G67" s="16">
        <v>9</v>
      </c>
      <c r="H67" s="16">
        <v>8</v>
      </c>
      <c r="I67" s="16">
        <v>2</v>
      </c>
      <c r="J67" s="16">
        <v>5</v>
      </c>
      <c r="K67" s="16">
        <v>6</v>
      </c>
      <c r="L67" s="16">
        <v>3</v>
      </c>
      <c r="M67" s="16">
        <v>6</v>
      </c>
      <c r="N67" s="16">
        <v>4</v>
      </c>
      <c r="O67" s="16">
        <v>5</v>
      </c>
      <c r="P67" s="16">
        <v>10</v>
      </c>
      <c r="Q67" s="16">
        <f>IF(COUNTA(F67:P67)=0,"",SUM(F67:P67))</f>
        <v>66</v>
      </c>
      <c r="R67" s="17">
        <f>IF(Q67="","",Q67/11)</f>
        <v>6</v>
      </c>
      <c r="S67" s="15">
        <f>IF(R67="","",1+COUNTIF($R$2:$R$116,"&gt;"&amp;R67))</f>
        <v>75</v>
      </c>
      <c r="T67" s="15" t="str">
        <f>IF(Table_2e_trimestre_H[[#This Row],[Moyenne]]&gt;=5,"Validé","Non Validé")</f>
        <v>Validé</v>
      </c>
    </row>
    <row r="68" spans="1:20" s="3" customFormat="1" ht="20.25">
      <c r="A68" s="15">
        <v>54</v>
      </c>
      <c r="B68" s="15" t="s">
        <v>124</v>
      </c>
      <c r="C68" s="15" t="s">
        <v>20</v>
      </c>
      <c r="D68" s="18">
        <v>8</v>
      </c>
      <c r="E68" s="18">
        <v>2</v>
      </c>
      <c r="F68" s="16">
        <v>5</v>
      </c>
      <c r="G68" s="16">
        <v>6</v>
      </c>
      <c r="H68" s="16">
        <v>7</v>
      </c>
      <c r="I68" s="16">
        <v>3</v>
      </c>
      <c r="J68" s="16">
        <v>7</v>
      </c>
      <c r="K68" s="16">
        <v>5</v>
      </c>
      <c r="L68" s="16">
        <v>1</v>
      </c>
      <c r="M68" s="16">
        <v>4</v>
      </c>
      <c r="N68" s="16">
        <v>3</v>
      </c>
      <c r="O68" s="16">
        <v>8</v>
      </c>
      <c r="P68" s="16">
        <v>10</v>
      </c>
      <c r="Q68" s="16">
        <f>IF(COUNTA(F68:P68)=0,"",SUM(F68:P68))</f>
        <v>59</v>
      </c>
      <c r="R68" s="17">
        <f>IF(Q68="","",Q68/11)</f>
        <v>5.3636363636363633</v>
      </c>
      <c r="S68" s="15">
        <f>IF(R68="","",1+COUNTIF($R$2:$R$116,"&gt;"&amp;R68))</f>
        <v>105</v>
      </c>
      <c r="T68" s="15" t="str">
        <f>IF(Table_2e_trimestre_H[[#This Row],[Moyenne]]&gt;=5,"Validé","Non Validé")</f>
        <v>Validé</v>
      </c>
    </row>
    <row r="69" spans="1:20" s="3" customFormat="1" ht="20.25">
      <c r="A69" s="15">
        <v>68</v>
      </c>
      <c r="B69" s="15" t="s">
        <v>72</v>
      </c>
      <c r="C69" s="15" t="s">
        <v>20</v>
      </c>
      <c r="D69" s="18">
        <v>9</v>
      </c>
      <c r="E69" s="18">
        <v>2</v>
      </c>
      <c r="F69" s="16">
        <v>10</v>
      </c>
      <c r="G69" s="16">
        <v>10</v>
      </c>
      <c r="H69" s="16">
        <v>9</v>
      </c>
      <c r="I69" s="16">
        <v>10</v>
      </c>
      <c r="J69" s="16">
        <v>9</v>
      </c>
      <c r="K69" s="16">
        <v>9</v>
      </c>
      <c r="L69" s="16">
        <v>8</v>
      </c>
      <c r="M69" s="16">
        <v>8</v>
      </c>
      <c r="N69" s="16">
        <v>9</v>
      </c>
      <c r="O69" s="16">
        <v>10</v>
      </c>
      <c r="P69" s="16">
        <v>10</v>
      </c>
      <c r="Q69" s="16">
        <f>IF(COUNTA(F69:P69)=0,"",SUM(F69:P69))</f>
        <v>102</v>
      </c>
      <c r="R69" s="17">
        <f>IF(Q69="","",Q69/11)</f>
        <v>9.2727272727272734</v>
      </c>
      <c r="S69" s="15">
        <f>IF(R69="","",1+COUNTIF($R$2:$R$116,"&gt;"&amp;R69))</f>
        <v>2</v>
      </c>
      <c r="T69" s="15" t="str">
        <f>IF(Table_2e_trimestre_H[[#This Row],[Moyenne]]&gt;=5,"Validé","Non Validé")</f>
        <v>Validé</v>
      </c>
    </row>
    <row r="70" spans="1:20" s="3" customFormat="1" ht="20.25">
      <c r="A70" s="15">
        <v>69</v>
      </c>
      <c r="B70" s="15" t="s">
        <v>73</v>
      </c>
      <c r="C70" s="15" t="s">
        <v>20</v>
      </c>
      <c r="D70" s="18">
        <v>8</v>
      </c>
      <c r="E70" s="18">
        <v>2</v>
      </c>
      <c r="F70" s="16">
        <v>8</v>
      </c>
      <c r="G70" s="16">
        <v>10</v>
      </c>
      <c r="H70" s="16">
        <v>8</v>
      </c>
      <c r="I70" s="16">
        <v>6</v>
      </c>
      <c r="J70" s="16">
        <v>7</v>
      </c>
      <c r="K70" s="16">
        <v>9</v>
      </c>
      <c r="L70" s="16">
        <v>2</v>
      </c>
      <c r="M70" s="16">
        <v>8</v>
      </c>
      <c r="N70" s="16">
        <v>5</v>
      </c>
      <c r="O70" s="16">
        <v>9</v>
      </c>
      <c r="P70" s="16">
        <v>9</v>
      </c>
      <c r="Q70" s="16">
        <f>IF(COUNTA(F70:P70)=0,"",SUM(F70:P70))</f>
        <v>81</v>
      </c>
      <c r="R70" s="17">
        <f>IF(Q70="","",Q70/11)</f>
        <v>7.3636363636363633</v>
      </c>
      <c r="S70" s="15">
        <f>IF(R70="","",1+COUNTIF($R$2:$R$116,"&gt;"&amp;R70))</f>
        <v>33</v>
      </c>
      <c r="T70" s="15" t="str">
        <f>IF(Table_2e_trimestre_H[[#This Row],[Moyenne]]&gt;=5,"Validé","Non Validé")</f>
        <v>Validé</v>
      </c>
    </row>
    <row r="71" spans="1:20" s="3" customFormat="1" ht="20.25">
      <c r="A71" s="15">
        <v>70</v>
      </c>
      <c r="B71" s="15" t="s">
        <v>74</v>
      </c>
      <c r="C71" s="15" t="s">
        <v>20</v>
      </c>
      <c r="D71" s="18">
        <v>8</v>
      </c>
      <c r="E71" s="18">
        <v>2</v>
      </c>
      <c r="F71" s="16">
        <v>6</v>
      </c>
      <c r="G71" s="16">
        <v>7</v>
      </c>
      <c r="H71" s="16">
        <v>7</v>
      </c>
      <c r="I71" s="16">
        <v>6</v>
      </c>
      <c r="J71" s="16">
        <v>8</v>
      </c>
      <c r="K71" s="16">
        <v>7</v>
      </c>
      <c r="L71" s="16">
        <v>0</v>
      </c>
      <c r="M71" s="16">
        <v>8</v>
      </c>
      <c r="N71" s="16">
        <v>3</v>
      </c>
      <c r="O71" s="16">
        <v>10</v>
      </c>
      <c r="P71" s="16">
        <v>10</v>
      </c>
      <c r="Q71" s="16">
        <f>IF(COUNTA(F71:P71)=0,"",SUM(F71:P71))</f>
        <v>72</v>
      </c>
      <c r="R71" s="17">
        <f>IF(Q71="","",Q71/11)</f>
        <v>6.5454545454545459</v>
      </c>
      <c r="S71" s="15">
        <f>IF(R71="","",1+COUNTIF($R$2:$R$116,"&gt;"&amp;R71))</f>
        <v>59</v>
      </c>
      <c r="T71" s="15" t="str">
        <f>IF(Table_2e_trimestre_H[[#This Row],[Moyenne]]&gt;=5,"Validé","Non Validé")</f>
        <v>Validé</v>
      </c>
    </row>
    <row r="72" spans="1:20" s="3" customFormat="1" ht="20.25">
      <c r="A72" s="15">
        <v>71</v>
      </c>
      <c r="B72" s="15" t="s">
        <v>75</v>
      </c>
      <c r="C72" s="15" t="s">
        <v>20</v>
      </c>
      <c r="D72" s="18">
        <v>8</v>
      </c>
      <c r="E72" s="18">
        <v>2</v>
      </c>
      <c r="F72" s="16">
        <v>8</v>
      </c>
      <c r="G72" s="16">
        <v>7</v>
      </c>
      <c r="H72" s="16">
        <v>7</v>
      </c>
      <c r="I72" s="16">
        <v>4</v>
      </c>
      <c r="J72" s="16">
        <v>8</v>
      </c>
      <c r="K72" s="16">
        <v>10</v>
      </c>
      <c r="L72" s="16">
        <v>3</v>
      </c>
      <c r="M72" s="16">
        <v>6</v>
      </c>
      <c r="N72" s="16">
        <v>8</v>
      </c>
      <c r="O72" s="16">
        <v>7</v>
      </c>
      <c r="P72" s="16">
        <v>10</v>
      </c>
      <c r="Q72" s="16">
        <f>IF(COUNTA(F72:P72)=0,"",SUM(F72:P72))</f>
        <v>78</v>
      </c>
      <c r="R72" s="17">
        <f>IF(Q72="","",Q72/11)</f>
        <v>7.0909090909090908</v>
      </c>
      <c r="S72" s="15">
        <f>IF(R72="","",1+COUNTIF($R$2:$R$116,"&gt;"&amp;R72))</f>
        <v>41</v>
      </c>
      <c r="T72" s="15" t="str">
        <f>IF(Table_2e_trimestre_H[[#This Row],[Moyenne]]&gt;=5,"Validé","Non Validé")</f>
        <v>Validé</v>
      </c>
    </row>
    <row r="73" spans="1:20" ht="20.25">
      <c r="A73" s="8">
        <v>72</v>
      </c>
      <c r="B73" s="8" t="s">
        <v>76</v>
      </c>
      <c r="C73" s="8" t="s">
        <v>18</v>
      </c>
      <c r="D73" s="7">
        <v>8</v>
      </c>
      <c r="E73" s="7">
        <v>2</v>
      </c>
      <c r="F73" s="13">
        <v>8</v>
      </c>
      <c r="G73" s="13">
        <v>9</v>
      </c>
      <c r="H73" s="13">
        <v>8</v>
      </c>
      <c r="I73" s="13">
        <v>5</v>
      </c>
      <c r="J73" s="13">
        <v>5</v>
      </c>
      <c r="K73" s="13">
        <v>4</v>
      </c>
      <c r="L73" s="13">
        <v>0</v>
      </c>
      <c r="M73" s="13">
        <v>5</v>
      </c>
      <c r="N73" s="13">
        <v>0</v>
      </c>
      <c r="O73" s="13">
        <v>8</v>
      </c>
      <c r="P73" s="13">
        <v>9</v>
      </c>
      <c r="Q73" s="13">
        <f>IF(COUNTA(F73:P73)=0,"",SUM(F73:P73))</f>
        <v>61</v>
      </c>
      <c r="R73" s="14">
        <f>IF(Q73="","",Q73/11)</f>
        <v>5.5454545454545459</v>
      </c>
      <c r="S73" s="8">
        <f>IF(R73="","",1+COUNTIF($R$2:$R$116,"&gt;"&amp;R73))</f>
        <v>96</v>
      </c>
      <c r="T73" s="8" t="str">
        <f>IF(Table_2e_trimestre_H[[#This Row],[Moyenne]]&gt;=5,"Validé","Non Validé")</f>
        <v>Validé</v>
      </c>
    </row>
    <row r="74" spans="1:20" ht="20.25">
      <c r="A74" s="8">
        <v>73</v>
      </c>
      <c r="B74" s="8" t="s">
        <v>77</v>
      </c>
      <c r="C74" s="8" t="s">
        <v>18</v>
      </c>
      <c r="D74" s="7">
        <v>8</v>
      </c>
      <c r="E74" s="7">
        <v>2</v>
      </c>
      <c r="F74" s="13">
        <v>10</v>
      </c>
      <c r="G74" s="13">
        <v>10</v>
      </c>
      <c r="H74" s="13">
        <v>8</v>
      </c>
      <c r="I74" s="13">
        <v>10</v>
      </c>
      <c r="J74" s="13">
        <v>6</v>
      </c>
      <c r="K74" s="13">
        <v>6</v>
      </c>
      <c r="L74" s="13">
        <v>8</v>
      </c>
      <c r="M74" s="13">
        <v>8</v>
      </c>
      <c r="N74" s="13">
        <v>9</v>
      </c>
      <c r="O74" s="13">
        <v>9</v>
      </c>
      <c r="P74" s="13">
        <v>10</v>
      </c>
      <c r="Q74" s="13">
        <f>IF(COUNTA(F74:P74)=0,"",SUM(F74:P74))</f>
        <v>94</v>
      </c>
      <c r="R74" s="14">
        <f>IF(Q74="","",Q74/11)</f>
        <v>8.545454545454545</v>
      </c>
      <c r="S74" s="8">
        <f>IF(R74="","",1+COUNTIF($R$2:$R$116,"&gt;"&amp;R74))</f>
        <v>10</v>
      </c>
      <c r="T74" s="8" t="str">
        <f>IF(Table_2e_trimestre_H[[#This Row],[Moyenne]]&gt;=5,"Validé","Non Validé")</f>
        <v>Validé</v>
      </c>
    </row>
    <row r="75" spans="1:20" s="3" customFormat="1" ht="20.25">
      <c r="A75" s="15">
        <v>74</v>
      </c>
      <c r="B75" s="15" t="s">
        <v>78</v>
      </c>
      <c r="C75" s="15" t="s">
        <v>20</v>
      </c>
      <c r="D75" s="18">
        <v>8</v>
      </c>
      <c r="E75" s="18">
        <v>2</v>
      </c>
      <c r="F75" s="16">
        <v>10</v>
      </c>
      <c r="G75" s="16">
        <v>10</v>
      </c>
      <c r="H75" s="16">
        <v>10</v>
      </c>
      <c r="I75" s="16">
        <v>10</v>
      </c>
      <c r="J75" s="16">
        <v>9</v>
      </c>
      <c r="K75" s="16">
        <v>10</v>
      </c>
      <c r="L75" s="16">
        <v>6</v>
      </c>
      <c r="M75" s="16">
        <v>7</v>
      </c>
      <c r="N75" s="16">
        <v>10</v>
      </c>
      <c r="O75" s="16">
        <v>10</v>
      </c>
      <c r="P75" s="16">
        <v>10</v>
      </c>
      <c r="Q75" s="16">
        <f>IF(COUNTA(F75:P75)=0,"",SUM(F75:P75))</f>
        <v>102</v>
      </c>
      <c r="R75" s="17">
        <f>IF(Q75="","",Q75/11)</f>
        <v>9.2727272727272734</v>
      </c>
      <c r="S75" s="15">
        <f>IF(R75="","",1+COUNTIF($R$2:$R$116,"&gt;"&amp;R75))</f>
        <v>2</v>
      </c>
      <c r="T75" s="15" t="str">
        <f>IF(Table_2e_trimestre_H[[#This Row],[Moyenne]]&gt;=5,"Validé","Non Validé")</f>
        <v>Validé</v>
      </c>
    </row>
    <row r="76" spans="1:20" s="3" customFormat="1" ht="20.25">
      <c r="A76" s="15">
        <v>75</v>
      </c>
      <c r="B76" s="15" t="s">
        <v>79</v>
      </c>
      <c r="C76" s="15" t="s">
        <v>20</v>
      </c>
      <c r="D76" s="18">
        <v>8</v>
      </c>
      <c r="E76" s="18">
        <v>2</v>
      </c>
      <c r="F76" s="16">
        <v>10</v>
      </c>
      <c r="G76" s="16">
        <v>10</v>
      </c>
      <c r="H76" s="16">
        <v>10</v>
      </c>
      <c r="I76" s="16">
        <v>10</v>
      </c>
      <c r="J76" s="16">
        <v>9</v>
      </c>
      <c r="K76" s="16">
        <v>10</v>
      </c>
      <c r="L76" s="16">
        <v>5</v>
      </c>
      <c r="M76" s="16">
        <v>8</v>
      </c>
      <c r="N76" s="16">
        <v>10</v>
      </c>
      <c r="O76" s="16">
        <v>10</v>
      </c>
      <c r="P76" s="16">
        <v>10</v>
      </c>
      <c r="Q76" s="16">
        <f>IF(COUNTA(F76:P76)=0,"",SUM(F76:P76))</f>
        <v>102</v>
      </c>
      <c r="R76" s="17">
        <f>IF(Q76="","",Q76/11)</f>
        <v>9.2727272727272734</v>
      </c>
      <c r="S76" s="15">
        <f>IF(R76="","",1+COUNTIF($R$2:$R$116,"&gt;"&amp;R76))</f>
        <v>2</v>
      </c>
      <c r="T76" s="15" t="str">
        <f>IF(Table_2e_trimestre_H[[#This Row],[Moyenne]]&gt;=5,"Validé","Non Validé")</f>
        <v>Validé</v>
      </c>
    </row>
    <row r="77" spans="1:20" ht="20.25">
      <c r="A77" s="8">
        <v>76</v>
      </c>
      <c r="B77" s="8" t="s">
        <v>80</v>
      </c>
      <c r="C77" s="8" t="s">
        <v>18</v>
      </c>
      <c r="D77" s="7">
        <v>8</v>
      </c>
      <c r="E77" s="7">
        <v>2</v>
      </c>
      <c r="F77" s="13">
        <v>10</v>
      </c>
      <c r="G77" s="13">
        <v>10</v>
      </c>
      <c r="H77" s="13">
        <v>10</v>
      </c>
      <c r="I77" s="13">
        <v>10</v>
      </c>
      <c r="J77" s="13">
        <v>8</v>
      </c>
      <c r="K77" s="13">
        <v>10</v>
      </c>
      <c r="L77" s="13">
        <v>7</v>
      </c>
      <c r="M77" s="13">
        <v>9</v>
      </c>
      <c r="N77" s="13">
        <v>10</v>
      </c>
      <c r="O77" s="13">
        <v>10</v>
      </c>
      <c r="P77" s="13">
        <v>10</v>
      </c>
      <c r="Q77" s="13">
        <f>IF(COUNTA(F77:P77)=0,"",SUM(F77:P77))</f>
        <v>104</v>
      </c>
      <c r="R77" s="14">
        <f>IF(Q77="","",Q77/11)</f>
        <v>9.454545454545455</v>
      </c>
      <c r="S77" s="8">
        <f>IF(R77="","",1+COUNTIF($R$2:$R$116,"&gt;"&amp;R77))</f>
        <v>1</v>
      </c>
      <c r="T77" s="8" t="str">
        <f>IF(Table_2e_trimestre_H[[#This Row],[Moyenne]]&gt;=5,"Validé","Non Validé")</f>
        <v>Validé</v>
      </c>
    </row>
    <row r="78" spans="1:20" s="3" customFormat="1" ht="20.25">
      <c r="A78" s="15">
        <v>77</v>
      </c>
      <c r="B78" s="15" t="s">
        <v>81</v>
      </c>
      <c r="C78" s="15" t="s">
        <v>20</v>
      </c>
      <c r="D78" s="18">
        <v>8</v>
      </c>
      <c r="E78" s="18">
        <v>2</v>
      </c>
      <c r="F78" s="16">
        <v>6</v>
      </c>
      <c r="G78" s="16">
        <v>10</v>
      </c>
      <c r="H78" s="16">
        <v>8</v>
      </c>
      <c r="I78" s="16">
        <v>9</v>
      </c>
      <c r="J78" s="16">
        <v>7</v>
      </c>
      <c r="K78" s="16">
        <v>9</v>
      </c>
      <c r="L78" s="16">
        <v>5</v>
      </c>
      <c r="M78" s="16">
        <v>5</v>
      </c>
      <c r="N78" s="16">
        <v>2</v>
      </c>
      <c r="O78" s="16">
        <v>10</v>
      </c>
      <c r="P78" s="16">
        <v>6</v>
      </c>
      <c r="Q78" s="16">
        <f>IF(COUNTA(F78:P78)=0,"",SUM(F78:P78))</f>
        <v>77</v>
      </c>
      <c r="R78" s="17">
        <f>IF(Q78="","",Q78/11)</f>
        <v>7</v>
      </c>
      <c r="S78" s="15">
        <f>IF(R78="","",1+COUNTIF($R$2:$R$116,"&gt;"&amp;R78))</f>
        <v>45</v>
      </c>
      <c r="T78" s="15" t="str">
        <f>IF(Table_2e_trimestre_H[[#This Row],[Moyenne]]&gt;=5,"Validé","Non Validé")</f>
        <v>Validé</v>
      </c>
    </row>
    <row r="79" spans="1:20" ht="20.25">
      <c r="A79" s="8">
        <v>78</v>
      </c>
      <c r="B79" s="8" t="s">
        <v>82</v>
      </c>
      <c r="C79" s="8" t="s">
        <v>18</v>
      </c>
      <c r="D79" s="7">
        <v>8</v>
      </c>
      <c r="E79" s="7">
        <v>2</v>
      </c>
      <c r="F79" s="13">
        <v>8</v>
      </c>
      <c r="G79" s="13">
        <v>8</v>
      </c>
      <c r="H79" s="13">
        <v>8</v>
      </c>
      <c r="I79" s="13">
        <v>7</v>
      </c>
      <c r="J79" s="13">
        <v>6</v>
      </c>
      <c r="K79" s="13">
        <v>6</v>
      </c>
      <c r="L79" s="13">
        <v>6</v>
      </c>
      <c r="M79" s="13">
        <v>6</v>
      </c>
      <c r="N79" s="13">
        <v>2</v>
      </c>
      <c r="O79" s="13">
        <v>8</v>
      </c>
      <c r="P79" s="13">
        <v>6</v>
      </c>
      <c r="Q79" s="13">
        <f>IF(COUNTA(F79:P79)=0,"",SUM(F79:P79))</f>
        <v>71</v>
      </c>
      <c r="R79" s="14">
        <f>IF(Q79="","",Q79/11)</f>
        <v>6.4545454545454541</v>
      </c>
      <c r="S79" s="8">
        <f>IF(R79="","",1+COUNTIF($R$2:$R$116,"&gt;"&amp;R79))</f>
        <v>63</v>
      </c>
      <c r="T79" s="8" t="str">
        <f>IF(Table_2e_trimestre_H[[#This Row],[Moyenne]]&gt;=5,"Validé","Non Validé")</f>
        <v>Validé</v>
      </c>
    </row>
    <row r="80" spans="1:20" s="3" customFormat="1" ht="20.25">
      <c r="A80" s="15">
        <v>79</v>
      </c>
      <c r="B80" s="15" t="s">
        <v>83</v>
      </c>
      <c r="C80" s="15" t="s">
        <v>20</v>
      </c>
      <c r="D80" s="18">
        <v>8</v>
      </c>
      <c r="E80" s="18">
        <v>2</v>
      </c>
      <c r="F80" s="16">
        <v>8</v>
      </c>
      <c r="G80" s="16">
        <v>8</v>
      </c>
      <c r="H80" s="16">
        <v>9</v>
      </c>
      <c r="I80" s="16">
        <v>10</v>
      </c>
      <c r="J80" s="16">
        <v>8</v>
      </c>
      <c r="K80" s="16">
        <v>10</v>
      </c>
      <c r="L80" s="16">
        <v>4</v>
      </c>
      <c r="M80" s="16">
        <v>6</v>
      </c>
      <c r="N80" s="16">
        <v>9</v>
      </c>
      <c r="O80" s="16">
        <v>10</v>
      </c>
      <c r="P80" s="16">
        <v>10</v>
      </c>
      <c r="Q80" s="16">
        <f>IF(COUNTA(F80:P80)=0,"",SUM(F80:P80))</f>
        <v>92</v>
      </c>
      <c r="R80" s="17">
        <f>IF(Q80="","",Q80/11)</f>
        <v>8.3636363636363633</v>
      </c>
      <c r="S80" s="15">
        <f>IF(R80="","",1+COUNTIF($R$2:$R$116,"&gt;"&amp;R80))</f>
        <v>16</v>
      </c>
      <c r="T80" s="15" t="str">
        <f>IF(Table_2e_trimestre_H[[#This Row],[Moyenne]]&gt;=5,"Validé","Non Validé")</f>
        <v>Validé</v>
      </c>
    </row>
    <row r="81" spans="1:20" s="3" customFormat="1" ht="20.25">
      <c r="A81" s="15">
        <v>80</v>
      </c>
      <c r="B81" s="15" t="s">
        <v>84</v>
      </c>
      <c r="C81" s="15" t="s">
        <v>20</v>
      </c>
      <c r="D81" s="18">
        <v>8</v>
      </c>
      <c r="E81" s="18">
        <v>2</v>
      </c>
      <c r="F81" s="16">
        <v>8</v>
      </c>
      <c r="G81" s="16">
        <v>8</v>
      </c>
      <c r="H81" s="16">
        <v>8</v>
      </c>
      <c r="I81" s="16">
        <v>6</v>
      </c>
      <c r="J81" s="16">
        <v>7</v>
      </c>
      <c r="K81" s="16">
        <v>8</v>
      </c>
      <c r="L81" s="16">
        <v>3</v>
      </c>
      <c r="M81" s="16">
        <v>5</v>
      </c>
      <c r="N81" s="16">
        <v>1</v>
      </c>
      <c r="O81" s="16">
        <v>7</v>
      </c>
      <c r="P81" s="16">
        <v>8</v>
      </c>
      <c r="Q81" s="16">
        <f>IF(COUNTA(F81:P81)=0,"",SUM(F81:P81))</f>
        <v>69</v>
      </c>
      <c r="R81" s="17">
        <f>IF(Q81="","",Q81/11)</f>
        <v>6.2727272727272725</v>
      </c>
      <c r="S81" s="15">
        <f>IF(R81="","",1+COUNTIF($R$2:$R$116,"&gt;"&amp;R81))</f>
        <v>66</v>
      </c>
      <c r="T81" s="15" t="str">
        <f>IF(Table_2e_trimestre_H[[#This Row],[Moyenne]]&gt;=5,"Validé","Non Validé")</f>
        <v>Validé</v>
      </c>
    </row>
    <row r="82" spans="1:20" ht="20.25">
      <c r="A82" s="8">
        <v>81</v>
      </c>
      <c r="B82" s="8" t="s">
        <v>85</v>
      </c>
      <c r="C82" s="8" t="s">
        <v>18</v>
      </c>
      <c r="D82" s="7">
        <v>8</v>
      </c>
      <c r="E82" s="7">
        <v>2</v>
      </c>
      <c r="F82" s="13">
        <v>10</v>
      </c>
      <c r="G82" s="13">
        <v>9</v>
      </c>
      <c r="H82" s="13">
        <v>9</v>
      </c>
      <c r="I82" s="13">
        <v>10</v>
      </c>
      <c r="J82" s="13">
        <v>8</v>
      </c>
      <c r="K82" s="13">
        <v>9</v>
      </c>
      <c r="L82" s="13">
        <v>6</v>
      </c>
      <c r="M82" s="13">
        <v>9</v>
      </c>
      <c r="N82" s="13">
        <v>8</v>
      </c>
      <c r="O82" s="13">
        <v>10</v>
      </c>
      <c r="P82" s="13">
        <v>9</v>
      </c>
      <c r="Q82" s="13">
        <f>IF(COUNTA(F82:P82)=0,"",SUM(F82:P82))</f>
        <v>97</v>
      </c>
      <c r="R82" s="14">
        <f>IF(Q82="","",Q82/11)</f>
        <v>8.8181818181818183</v>
      </c>
      <c r="S82" s="8">
        <f>IF(R82="","",1+COUNTIF($R$2:$R$116,"&gt;"&amp;R82))</f>
        <v>5</v>
      </c>
      <c r="T82" s="8" t="str">
        <f>IF(Table_2e_trimestre_H[[#This Row],[Moyenne]]&gt;=5,"Validé","Non Validé")</f>
        <v>Validé</v>
      </c>
    </row>
    <row r="83" spans="1:20" ht="20.25">
      <c r="A83" s="8">
        <v>82</v>
      </c>
      <c r="B83" s="8" t="s">
        <v>86</v>
      </c>
      <c r="C83" s="8" t="s">
        <v>18</v>
      </c>
      <c r="D83" s="7">
        <v>8</v>
      </c>
      <c r="E83" s="7">
        <v>2</v>
      </c>
      <c r="F83" s="13">
        <v>7</v>
      </c>
      <c r="G83" s="13">
        <v>7</v>
      </c>
      <c r="H83" s="13">
        <v>9</v>
      </c>
      <c r="I83" s="13">
        <v>7</v>
      </c>
      <c r="J83" s="13">
        <v>6</v>
      </c>
      <c r="K83" s="13">
        <v>8</v>
      </c>
      <c r="L83" s="13">
        <v>5</v>
      </c>
      <c r="M83" s="13">
        <v>5</v>
      </c>
      <c r="N83" s="13">
        <v>6</v>
      </c>
      <c r="O83" s="13">
        <v>9</v>
      </c>
      <c r="P83" s="13">
        <v>7</v>
      </c>
      <c r="Q83" s="13">
        <f>IF(COUNTA(F83:P83)=0,"",SUM(F83:P83))</f>
        <v>76</v>
      </c>
      <c r="R83" s="14">
        <f>IF(Q83="","",Q83/11)</f>
        <v>6.9090909090909092</v>
      </c>
      <c r="S83" s="8">
        <f>IF(R83="","",1+COUNTIF($R$2:$R$116,"&gt;"&amp;R83))</f>
        <v>47</v>
      </c>
      <c r="T83" s="8" t="str">
        <f>IF(Table_2e_trimestre_H[[#This Row],[Moyenne]]&gt;=5,"Validé","Non Validé")</f>
        <v>Validé</v>
      </c>
    </row>
    <row r="84" spans="1:20" s="3" customFormat="1" ht="20.25">
      <c r="A84" s="15">
        <v>83</v>
      </c>
      <c r="B84" s="15" t="s">
        <v>87</v>
      </c>
      <c r="C84" s="15" t="s">
        <v>20</v>
      </c>
      <c r="D84" s="18">
        <v>8</v>
      </c>
      <c r="E84" s="18">
        <v>2</v>
      </c>
      <c r="F84" s="16">
        <v>6</v>
      </c>
      <c r="G84" s="16">
        <v>9</v>
      </c>
      <c r="H84" s="16">
        <v>8</v>
      </c>
      <c r="I84" s="16">
        <v>4</v>
      </c>
      <c r="J84" s="16">
        <v>7</v>
      </c>
      <c r="K84" s="16">
        <v>3</v>
      </c>
      <c r="L84" s="16">
        <v>0</v>
      </c>
      <c r="M84" s="16">
        <v>6</v>
      </c>
      <c r="N84" s="16">
        <v>0</v>
      </c>
      <c r="O84" s="16">
        <v>8</v>
      </c>
      <c r="P84" s="16">
        <v>6</v>
      </c>
      <c r="Q84" s="16">
        <f>IF(COUNTA(F84:P84)=0,"",SUM(F84:P84))</f>
        <v>57</v>
      </c>
      <c r="R84" s="17">
        <f>IF(Q84="","",Q84/11)</f>
        <v>5.1818181818181817</v>
      </c>
      <c r="S84" s="15">
        <f>IF(R84="","",1+COUNTIF($R$2:$R$116,"&gt;"&amp;R84))</f>
        <v>107</v>
      </c>
      <c r="T84" s="15" t="str">
        <f>IF(Table_2e_trimestre_H[[#This Row],[Moyenne]]&gt;=5,"Validé","Non Validé")</f>
        <v>Validé</v>
      </c>
    </row>
    <row r="85" spans="1:20" s="3" customFormat="1" ht="40.5">
      <c r="A85" s="15">
        <v>84</v>
      </c>
      <c r="B85" s="15" t="s">
        <v>88</v>
      </c>
      <c r="C85" s="15" t="s">
        <v>20</v>
      </c>
      <c r="D85" s="18">
        <v>8</v>
      </c>
      <c r="E85" s="18">
        <v>2</v>
      </c>
      <c r="F85" s="16">
        <v>6</v>
      </c>
      <c r="G85" s="16">
        <v>6</v>
      </c>
      <c r="H85" s="16">
        <v>9</v>
      </c>
      <c r="I85" s="16">
        <v>7</v>
      </c>
      <c r="J85" s="16">
        <v>8</v>
      </c>
      <c r="K85" s="16">
        <v>8</v>
      </c>
      <c r="L85" s="16">
        <v>0</v>
      </c>
      <c r="M85" s="16">
        <v>6</v>
      </c>
      <c r="N85" s="16">
        <v>0</v>
      </c>
      <c r="O85" s="16">
        <v>8</v>
      </c>
      <c r="P85" s="16">
        <v>8</v>
      </c>
      <c r="Q85" s="16">
        <f>IF(COUNTA(F85:P85)=0,"",SUM(F85:P85))</f>
        <v>66</v>
      </c>
      <c r="R85" s="17">
        <f>IF(Q85="","",Q85/11)</f>
        <v>6</v>
      </c>
      <c r="S85" s="15">
        <f>IF(R85="","",1+COUNTIF($R$2:$R$116,"&gt;"&amp;R85))</f>
        <v>75</v>
      </c>
      <c r="T85" s="15" t="str">
        <f>IF(Table_2e_trimestre_H[[#This Row],[Moyenne]]&gt;=5,"Validé","Non Validé")</f>
        <v>Validé</v>
      </c>
    </row>
    <row r="86" spans="1:20" ht="20.25">
      <c r="A86" s="8">
        <v>85</v>
      </c>
      <c r="B86" s="8" t="s">
        <v>89</v>
      </c>
      <c r="C86" s="8" t="s">
        <v>18</v>
      </c>
      <c r="D86" s="7">
        <v>8</v>
      </c>
      <c r="E86" s="7">
        <v>2</v>
      </c>
      <c r="F86" s="13">
        <v>4</v>
      </c>
      <c r="G86" s="13">
        <v>9</v>
      </c>
      <c r="H86" s="13">
        <v>8</v>
      </c>
      <c r="I86" s="13">
        <v>9</v>
      </c>
      <c r="J86" s="13">
        <v>7</v>
      </c>
      <c r="K86" s="13">
        <v>8</v>
      </c>
      <c r="L86" s="13">
        <v>6</v>
      </c>
      <c r="M86" s="13">
        <v>6</v>
      </c>
      <c r="N86" s="13">
        <v>7</v>
      </c>
      <c r="O86" s="13">
        <v>9</v>
      </c>
      <c r="P86" s="13">
        <v>9</v>
      </c>
      <c r="Q86" s="13">
        <f>IF(COUNTA(F86:P86)=0,"",SUM(F86:P86))</f>
        <v>82</v>
      </c>
      <c r="R86" s="14">
        <f>IF(Q86="","",Q86/11)</f>
        <v>7.4545454545454541</v>
      </c>
      <c r="S86" s="8">
        <f>IF(R86="","",1+COUNTIF($R$2:$R$116,"&gt;"&amp;R86))</f>
        <v>27</v>
      </c>
      <c r="T86" s="8" t="str">
        <f>IF(Table_2e_trimestre_H[[#This Row],[Moyenne]]&gt;=5,"Validé","Non Validé")</f>
        <v>Validé</v>
      </c>
    </row>
    <row r="87" spans="1:20" ht="20.25">
      <c r="A87" s="8">
        <v>86</v>
      </c>
      <c r="B87" s="8" t="s">
        <v>90</v>
      </c>
      <c r="C87" s="8" t="s">
        <v>18</v>
      </c>
      <c r="D87" s="7">
        <v>8</v>
      </c>
      <c r="E87" s="7">
        <v>2</v>
      </c>
      <c r="F87" s="13">
        <v>4</v>
      </c>
      <c r="G87" s="13">
        <v>9</v>
      </c>
      <c r="H87" s="13">
        <v>7</v>
      </c>
      <c r="I87" s="13">
        <v>4</v>
      </c>
      <c r="J87" s="13">
        <v>8</v>
      </c>
      <c r="K87" s="13">
        <v>8</v>
      </c>
      <c r="L87" s="13">
        <v>2</v>
      </c>
      <c r="M87" s="13">
        <v>5</v>
      </c>
      <c r="N87" s="13">
        <v>0</v>
      </c>
      <c r="O87" s="13">
        <v>8</v>
      </c>
      <c r="P87" s="13">
        <v>8</v>
      </c>
      <c r="Q87" s="13">
        <f>IF(COUNTA(F87:P87)=0,"",SUM(F87:P87))</f>
        <v>63</v>
      </c>
      <c r="R87" s="14">
        <f>IF(Q87="","",Q87/11)</f>
        <v>5.7272727272727275</v>
      </c>
      <c r="S87" s="8">
        <f>IF(R87="","",1+COUNTIF($R$2:$R$116,"&gt;"&amp;R87))</f>
        <v>90</v>
      </c>
      <c r="T87" s="8" t="str">
        <f>IF(Table_2e_trimestre_H[[#This Row],[Moyenne]]&gt;=5,"Validé","Non Validé")</f>
        <v>Validé</v>
      </c>
    </row>
    <row r="88" spans="1:20" ht="20.25">
      <c r="A88" s="8">
        <v>87</v>
      </c>
      <c r="B88" s="8" t="s">
        <v>91</v>
      </c>
      <c r="C88" s="8" t="s">
        <v>18</v>
      </c>
      <c r="D88" s="7">
        <v>8</v>
      </c>
      <c r="E88" s="7">
        <v>2</v>
      </c>
      <c r="F88" s="13">
        <v>6</v>
      </c>
      <c r="G88" s="13">
        <v>8</v>
      </c>
      <c r="H88" s="13">
        <v>7</v>
      </c>
      <c r="I88" s="13">
        <v>6</v>
      </c>
      <c r="J88" s="13">
        <v>6</v>
      </c>
      <c r="K88" s="13">
        <v>8</v>
      </c>
      <c r="L88" s="13">
        <v>3</v>
      </c>
      <c r="M88" s="13">
        <v>6</v>
      </c>
      <c r="N88" s="13">
        <v>0</v>
      </c>
      <c r="O88" s="13">
        <v>9</v>
      </c>
      <c r="P88" s="13">
        <v>8</v>
      </c>
      <c r="Q88" s="13">
        <f>IF(COUNTA(F88:P88)=0,"",SUM(F88:P88))</f>
        <v>67</v>
      </c>
      <c r="R88" s="14">
        <f>IF(Q88="","",Q88/11)</f>
        <v>6.0909090909090908</v>
      </c>
      <c r="S88" s="8">
        <f>IF(R88="","",1+COUNTIF($R$2:$R$116,"&gt;"&amp;R88))</f>
        <v>73</v>
      </c>
      <c r="T88" s="8" t="str">
        <f>IF(Table_2e_trimestre_H[[#This Row],[Moyenne]]&gt;=5,"Validé","Non Validé")</f>
        <v>Validé</v>
      </c>
    </row>
    <row r="89" spans="1:20" ht="16.5" customHeight="1">
      <c r="A89" s="8">
        <v>88</v>
      </c>
      <c r="B89" s="8" t="s">
        <v>125</v>
      </c>
      <c r="C89" s="8" t="s">
        <v>18</v>
      </c>
      <c r="D89" s="7">
        <v>8</v>
      </c>
      <c r="E89" s="7">
        <v>2</v>
      </c>
      <c r="F89" s="13">
        <v>8</v>
      </c>
      <c r="G89" s="13">
        <v>10</v>
      </c>
      <c r="H89" s="13">
        <v>8</v>
      </c>
      <c r="I89" s="13">
        <v>9</v>
      </c>
      <c r="J89" s="13">
        <v>8</v>
      </c>
      <c r="K89" s="13">
        <v>10</v>
      </c>
      <c r="L89" s="13">
        <v>0</v>
      </c>
      <c r="M89" s="13">
        <v>7</v>
      </c>
      <c r="N89" s="13">
        <v>3</v>
      </c>
      <c r="O89" s="13">
        <v>9</v>
      </c>
      <c r="P89" s="13">
        <v>10</v>
      </c>
      <c r="Q89" s="13">
        <f>IF(COUNTA(F89:P89)=0,"",SUM(F89:P89))</f>
        <v>82</v>
      </c>
      <c r="R89" s="14">
        <f>IF(Q89="","",Q89/11)</f>
        <v>7.4545454545454541</v>
      </c>
      <c r="S89" s="8">
        <f>IF(R89="","",1+COUNTIF($R$2:$R$116,"&gt;"&amp;R89))</f>
        <v>27</v>
      </c>
      <c r="T89" s="8" t="str">
        <f>IF(Table_2e_trimestre_H[[#This Row],[Moyenne]]&gt;=5,"Validé","Non Validé")</f>
        <v>Validé</v>
      </c>
    </row>
    <row r="90" spans="1:20" ht="20.25">
      <c r="A90" s="8">
        <v>89</v>
      </c>
      <c r="B90" s="8" t="s">
        <v>92</v>
      </c>
      <c r="C90" s="8" t="s">
        <v>18</v>
      </c>
      <c r="D90" s="7">
        <v>8</v>
      </c>
      <c r="E90" s="7">
        <v>2</v>
      </c>
      <c r="F90" s="13">
        <v>6</v>
      </c>
      <c r="G90" s="13">
        <v>8</v>
      </c>
      <c r="H90" s="13">
        <v>7</v>
      </c>
      <c r="I90" s="13">
        <v>1</v>
      </c>
      <c r="J90" s="13">
        <v>6</v>
      </c>
      <c r="K90" s="13">
        <v>6</v>
      </c>
      <c r="L90" s="13">
        <v>6</v>
      </c>
      <c r="M90" s="13">
        <v>4</v>
      </c>
      <c r="N90" s="13">
        <v>5</v>
      </c>
      <c r="O90" s="13">
        <v>9</v>
      </c>
      <c r="P90" s="13">
        <v>4</v>
      </c>
      <c r="Q90" s="13">
        <f>IF(COUNTA(F90:P90)=0,"",SUM(F90:P90))</f>
        <v>62</v>
      </c>
      <c r="R90" s="14">
        <f>IF(Q90="","",Q90/11)</f>
        <v>5.6363636363636367</v>
      </c>
      <c r="S90" s="8">
        <f>IF(R90="","",1+COUNTIF($R$2:$R$116,"&gt;"&amp;R90))</f>
        <v>92</v>
      </c>
      <c r="T90" s="8" t="str">
        <f>IF(Table_2e_trimestre_H[[#This Row],[Moyenne]]&gt;=5,"Validé","Non Validé")</f>
        <v>Validé</v>
      </c>
    </row>
    <row r="91" spans="1:20" ht="20.25">
      <c r="A91" s="8">
        <v>90</v>
      </c>
      <c r="B91" s="8" t="s">
        <v>93</v>
      </c>
      <c r="C91" s="8" t="s">
        <v>18</v>
      </c>
      <c r="D91" s="7">
        <v>8</v>
      </c>
      <c r="E91" s="7">
        <v>2</v>
      </c>
      <c r="F91" s="13">
        <v>6</v>
      </c>
      <c r="G91" s="13">
        <v>9</v>
      </c>
      <c r="H91" s="13">
        <v>7</v>
      </c>
      <c r="I91" s="13">
        <v>3</v>
      </c>
      <c r="J91" s="13">
        <v>6</v>
      </c>
      <c r="K91" s="13">
        <v>4</v>
      </c>
      <c r="L91" s="13">
        <v>2</v>
      </c>
      <c r="M91" s="13">
        <v>8</v>
      </c>
      <c r="N91" s="13">
        <v>4</v>
      </c>
      <c r="O91" s="13">
        <v>7</v>
      </c>
      <c r="P91" s="13">
        <v>8</v>
      </c>
      <c r="Q91" s="13">
        <f>IF(COUNTA(F91:P91)=0,"",SUM(F91:P91))</f>
        <v>64</v>
      </c>
      <c r="R91" s="14">
        <f>IF(Q91="","",Q91/11)</f>
        <v>5.8181818181818183</v>
      </c>
      <c r="S91" s="8">
        <f>IF(R91="","",1+COUNTIF($R$2:$R$116,"&gt;"&amp;R91))</f>
        <v>83</v>
      </c>
      <c r="T91" s="8" t="str">
        <f>IF(Table_2e_trimestre_H[[#This Row],[Moyenne]]&gt;=5,"Validé","Non Validé")</f>
        <v>Validé</v>
      </c>
    </row>
    <row r="92" spans="1:20" ht="20.25">
      <c r="A92" s="8">
        <v>91</v>
      </c>
      <c r="B92" s="8" t="s">
        <v>94</v>
      </c>
      <c r="C92" s="8" t="s">
        <v>18</v>
      </c>
      <c r="D92" s="7">
        <v>8</v>
      </c>
      <c r="E92" s="7">
        <v>2</v>
      </c>
      <c r="F92" s="13">
        <v>6</v>
      </c>
      <c r="G92" s="13">
        <v>7</v>
      </c>
      <c r="H92" s="13">
        <v>7</v>
      </c>
      <c r="I92" s="13">
        <v>3</v>
      </c>
      <c r="J92" s="13">
        <v>8</v>
      </c>
      <c r="K92" s="13">
        <v>10</v>
      </c>
      <c r="L92" s="13">
        <v>1</v>
      </c>
      <c r="M92" s="13">
        <v>9</v>
      </c>
      <c r="N92" s="13">
        <v>6</v>
      </c>
      <c r="O92" s="13">
        <v>9</v>
      </c>
      <c r="P92" s="13">
        <v>8</v>
      </c>
      <c r="Q92" s="13">
        <f>IF(COUNTA(F92:P92)=0,"",SUM(F92:P92))</f>
        <v>74</v>
      </c>
      <c r="R92" s="14">
        <f>IF(Q92="","",Q92/11)</f>
        <v>6.7272727272727275</v>
      </c>
      <c r="S92" s="8">
        <f>IF(R92="","",1+COUNTIF($R$2:$R$116,"&gt;"&amp;R92))</f>
        <v>51</v>
      </c>
      <c r="T92" s="8" t="str">
        <f>IF(Table_2e_trimestre_H[[#This Row],[Moyenne]]&gt;=5,"Validé","Non Validé")</f>
        <v>Validé</v>
      </c>
    </row>
    <row r="93" spans="1:20" ht="20.25">
      <c r="A93" s="8">
        <v>92</v>
      </c>
      <c r="B93" s="8" t="s">
        <v>126</v>
      </c>
      <c r="C93" s="8" t="s">
        <v>18</v>
      </c>
      <c r="D93" s="7">
        <v>8</v>
      </c>
      <c r="E93" s="7">
        <v>2</v>
      </c>
      <c r="F93" s="13">
        <v>8</v>
      </c>
      <c r="G93" s="13">
        <v>8</v>
      </c>
      <c r="H93" s="13">
        <v>9</v>
      </c>
      <c r="I93" s="13">
        <v>8</v>
      </c>
      <c r="J93" s="13">
        <v>7</v>
      </c>
      <c r="K93" s="13">
        <v>6</v>
      </c>
      <c r="L93" s="13">
        <v>4</v>
      </c>
      <c r="M93" s="13">
        <v>5</v>
      </c>
      <c r="N93" s="13">
        <v>4</v>
      </c>
      <c r="O93" s="13">
        <v>9</v>
      </c>
      <c r="P93" s="13">
        <v>8</v>
      </c>
      <c r="Q93" s="13">
        <f>IF(COUNTA(F93:P93)=0,"",SUM(F93:P93))</f>
        <v>76</v>
      </c>
      <c r="R93" s="14">
        <f>IF(Q93="","",Q93/11)</f>
        <v>6.9090909090909092</v>
      </c>
      <c r="S93" s="8">
        <f>IF(R93="","",1+COUNTIF($R$2:$R$116,"&gt;"&amp;R93))</f>
        <v>47</v>
      </c>
      <c r="T93" s="8" t="str">
        <f>IF(Table_2e_trimestre_H[[#This Row],[Moyenne]]&gt;=5,"Validé","Non Validé")</f>
        <v>Validé</v>
      </c>
    </row>
    <row r="94" spans="1:20" s="3" customFormat="1" ht="20.25">
      <c r="A94" s="15">
        <v>93</v>
      </c>
      <c r="B94" s="15" t="s">
        <v>95</v>
      </c>
      <c r="C94" s="15" t="s">
        <v>20</v>
      </c>
      <c r="D94" s="18">
        <v>8</v>
      </c>
      <c r="E94" s="18">
        <v>2</v>
      </c>
      <c r="F94" s="16">
        <v>10</v>
      </c>
      <c r="G94" s="16">
        <v>8</v>
      </c>
      <c r="H94" s="16">
        <v>8</v>
      </c>
      <c r="I94" s="16">
        <v>6</v>
      </c>
      <c r="J94" s="16">
        <v>8</v>
      </c>
      <c r="K94" s="16">
        <v>9</v>
      </c>
      <c r="L94" s="16">
        <v>4</v>
      </c>
      <c r="M94" s="16">
        <v>5</v>
      </c>
      <c r="N94" s="16">
        <v>5</v>
      </c>
      <c r="O94" s="16">
        <v>8</v>
      </c>
      <c r="P94" s="16">
        <v>6</v>
      </c>
      <c r="Q94" s="16">
        <f>IF(COUNTA(F94:P94)=0,"",SUM(F94:P94))</f>
        <v>77</v>
      </c>
      <c r="R94" s="17">
        <f>IF(Q94="","",Q94/11)</f>
        <v>7</v>
      </c>
      <c r="S94" s="15">
        <f>IF(R94="","",1+COUNTIF($R$2:$R$116,"&gt;"&amp;R94))</f>
        <v>45</v>
      </c>
      <c r="T94" s="15" t="str">
        <f>IF(Table_2e_trimestre_H[[#This Row],[Moyenne]]&gt;=5,"Validé","Non Validé")</f>
        <v>Validé</v>
      </c>
    </row>
    <row r="95" spans="1:20" s="3" customFormat="1" ht="20.25">
      <c r="A95" s="15">
        <v>94</v>
      </c>
      <c r="B95" s="15" t="s">
        <v>96</v>
      </c>
      <c r="C95" s="15" t="s">
        <v>20</v>
      </c>
      <c r="D95" s="18">
        <v>8</v>
      </c>
      <c r="E95" s="18">
        <v>2</v>
      </c>
      <c r="F95" s="16">
        <v>6</v>
      </c>
      <c r="G95" s="16">
        <v>7</v>
      </c>
      <c r="H95" s="16">
        <v>8</v>
      </c>
      <c r="I95" s="16">
        <v>5</v>
      </c>
      <c r="J95" s="16">
        <v>8</v>
      </c>
      <c r="K95" s="16">
        <v>8</v>
      </c>
      <c r="L95" s="16">
        <v>1</v>
      </c>
      <c r="M95" s="16">
        <v>6</v>
      </c>
      <c r="N95" s="16">
        <v>2</v>
      </c>
      <c r="O95" s="16">
        <v>10</v>
      </c>
      <c r="P95" s="16">
        <v>8</v>
      </c>
      <c r="Q95" s="16">
        <f>IF(COUNTA(F95:P95)=0,"",SUM(F95:P95))</f>
        <v>69</v>
      </c>
      <c r="R95" s="17">
        <f>IF(Q95="","",Q95/11)</f>
        <v>6.2727272727272725</v>
      </c>
      <c r="S95" s="15">
        <f>IF(R95="","",1+COUNTIF($R$2:$R$116,"&gt;"&amp;R95))</f>
        <v>66</v>
      </c>
      <c r="T95" s="15" t="str">
        <f>IF(Table_2e_trimestre_H[[#This Row],[Moyenne]]&gt;=5,"Validé","Non Validé")</f>
        <v>Validé</v>
      </c>
    </row>
    <row r="96" spans="1:20" s="3" customFormat="1" ht="20.25">
      <c r="A96" s="15">
        <v>95</v>
      </c>
      <c r="B96" s="15" t="s">
        <v>97</v>
      </c>
      <c r="C96" s="15" t="s">
        <v>20</v>
      </c>
      <c r="D96" s="18">
        <v>8</v>
      </c>
      <c r="E96" s="18">
        <v>2</v>
      </c>
      <c r="F96" s="16">
        <v>6</v>
      </c>
      <c r="G96" s="16">
        <v>7</v>
      </c>
      <c r="H96" s="16">
        <v>7</v>
      </c>
      <c r="I96" s="16">
        <v>6</v>
      </c>
      <c r="J96" s="16">
        <v>8</v>
      </c>
      <c r="K96" s="16">
        <v>8</v>
      </c>
      <c r="L96" s="16">
        <v>0</v>
      </c>
      <c r="M96" s="16">
        <v>6</v>
      </c>
      <c r="N96" s="16">
        <v>0</v>
      </c>
      <c r="O96" s="16">
        <v>8</v>
      </c>
      <c r="P96" s="16">
        <v>4</v>
      </c>
      <c r="Q96" s="16">
        <f>IF(COUNTA(F96:P96)=0,"",SUM(F96:P96))</f>
        <v>60</v>
      </c>
      <c r="R96" s="17">
        <f>IF(Q96="","",Q96/11)</f>
        <v>5.4545454545454541</v>
      </c>
      <c r="S96" s="15">
        <f>IF(R96="","",1+COUNTIF($R$2:$R$116,"&gt;"&amp;R96))</f>
        <v>103</v>
      </c>
      <c r="T96" s="15" t="str">
        <f>IF(Table_2e_trimestre_H[[#This Row],[Moyenne]]&gt;=5,"Validé","Non Validé")</f>
        <v>Validé</v>
      </c>
    </row>
    <row r="97" spans="1:20" ht="20.25">
      <c r="A97" s="8">
        <v>96</v>
      </c>
      <c r="B97" s="8" t="s">
        <v>98</v>
      </c>
      <c r="C97" s="8" t="s">
        <v>18</v>
      </c>
      <c r="D97" s="7">
        <v>8</v>
      </c>
      <c r="E97" s="7">
        <v>2</v>
      </c>
      <c r="F97" s="13">
        <v>8</v>
      </c>
      <c r="G97" s="13">
        <v>7</v>
      </c>
      <c r="H97" s="13">
        <v>8</v>
      </c>
      <c r="I97" s="13">
        <v>6</v>
      </c>
      <c r="J97" s="13">
        <v>6</v>
      </c>
      <c r="K97" s="13">
        <v>7</v>
      </c>
      <c r="L97" s="13">
        <v>2</v>
      </c>
      <c r="M97" s="13">
        <v>5</v>
      </c>
      <c r="N97" s="13">
        <v>3</v>
      </c>
      <c r="O97" s="13">
        <v>8</v>
      </c>
      <c r="P97" s="13">
        <v>6</v>
      </c>
      <c r="Q97" s="13">
        <f>IF(COUNTA(F97:P97)=0,"",SUM(F97:P97))</f>
        <v>66</v>
      </c>
      <c r="R97" s="14">
        <f>IF(Q97="","",Q97/11)</f>
        <v>6</v>
      </c>
      <c r="S97" s="8">
        <f>IF(R97="","",1+COUNTIF($R$2:$R$116,"&gt;"&amp;R97))</f>
        <v>75</v>
      </c>
      <c r="T97" s="8" t="str">
        <f>IF(Table_2e_trimestre_H[[#This Row],[Moyenne]]&gt;=5,"Validé","Non Validé")</f>
        <v>Validé</v>
      </c>
    </row>
    <row r="98" spans="1:20" s="3" customFormat="1" ht="20.25">
      <c r="A98" s="15">
        <v>97</v>
      </c>
      <c r="B98" s="15" t="s">
        <v>99</v>
      </c>
      <c r="C98" s="15" t="s">
        <v>20</v>
      </c>
      <c r="D98" s="18">
        <v>9</v>
      </c>
      <c r="E98" s="18">
        <v>2</v>
      </c>
      <c r="F98" s="16">
        <v>10</v>
      </c>
      <c r="G98" s="16">
        <v>9</v>
      </c>
      <c r="H98" s="16">
        <v>9</v>
      </c>
      <c r="I98" s="16">
        <v>10</v>
      </c>
      <c r="J98" s="16">
        <v>8</v>
      </c>
      <c r="K98" s="16">
        <v>8</v>
      </c>
      <c r="L98" s="16">
        <v>7</v>
      </c>
      <c r="M98" s="16">
        <v>7</v>
      </c>
      <c r="N98" s="16">
        <v>6</v>
      </c>
      <c r="O98" s="16">
        <v>9</v>
      </c>
      <c r="P98" s="16">
        <v>10</v>
      </c>
      <c r="Q98" s="16">
        <f>IF(COUNTA(F98:P98)=0,"",SUM(F98:P98))</f>
        <v>93</v>
      </c>
      <c r="R98" s="17">
        <f>IF(Q98="","",Q98/11)</f>
        <v>8.454545454545455</v>
      </c>
      <c r="S98" s="15">
        <f>IF(R98="","",1+COUNTIF($R$2:$R$116,"&gt;"&amp;R98))</f>
        <v>12</v>
      </c>
      <c r="T98" s="15" t="str">
        <f>IF(Table_2e_trimestre_H[[#This Row],[Moyenne]]&gt;=5,"Validé","Non Validé")</f>
        <v>Validé</v>
      </c>
    </row>
    <row r="99" spans="1:20" ht="20.25">
      <c r="A99" s="8">
        <v>98</v>
      </c>
      <c r="B99" s="8" t="s">
        <v>127</v>
      </c>
      <c r="C99" s="8" t="s">
        <v>18</v>
      </c>
      <c r="D99" s="7">
        <v>8</v>
      </c>
      <c r="E99" s="7">
        <v>2</v>
      </c>
      <c r="F99" s="13">
        <v>0</v>
      </c>
      <c r="G99" s="13">
        <v>8</v>
      </c>
      <c r="H99" s="13">
        <v>7</v>
      </c>
      <c r="I99" s="13">
        <v>6</v>
      </c>
      <c r="J99" s="13">
        <v>5</v>
      </c>
      <c r="K99" s="13">
        <v>9</v>
      </c>
      <c r="L99" s="13">
        <v>1</v>
      </c>
      <c r="M99" s="13">
        <v>6</v>
      </c>
      <c r="N99" s="13">
        <v>3</v>
      </c>
      <c r="O99" s="13">
        <v>9</v>
      </c>
      <c r="P99" s="13">
        <v>7</v>
      </c>
      <c r="Q99" s="13">
        <f>IF(COUNTA(F99:P99)=0,"",SUM(F99:P99))</f>
        <v>61</v>
      </c>
      <c r="R99" s="14">
        <f>IF(Q99="","",Q99/11)</f>
        <v>5.5454545454545459</v>
      </c>
      <c r="S99" s="8">
        <f>IF(R99="","",1+COUNTIF($R$2:$R$116,"&gt;"&amp;R99))</f>
        <v>96</v>
      </c>
      <c r="T99" s="8" t="str">
        <f>IF(Table_2e_trimestre_H[[#This Row],[Moyenne]]&gt;=5,"Validé","Non Validé")</f>
        <v>Validé</v>
      </c>
    </row>
    <row r="100" spans="1:20" s="3" customFormat="1" ht="20.25">
      <c r="A100" s="15">
        <v>99</v>
      </c>
      <c r="B100" s="15" t="s">
        <v>100</v>
      </c>
      <c r="C100" s="15" t="s">
        <v>20</v>
      </c>
      <c r="D100" s="18">
        <v>8</v>
      </c>
      <c r="E100" s="18">
        <v>2</v>
      </c>
      <c r="F100" s="16">
        <v>8</v>
      </c>
      <c r="G100" s="16">
        <v>10</v>
      </c>
      <c r="H100" s="16">
        <v>9</v>
      </c>
      <c r="I100" s="16">
        <v>9</v>
      </c>
      <c r="J100" s="16">
        <v>6</v>
      </c>
      <c r="K100" s="16">
        <v>8</v>
      </c>
      <c r="L100" s="16">
        <v>6</v>
      </c>
      <c r="M100" s="16">
        <v>5</v>
      </c>
      <c r="N100" s="16">
        <v>6</v>
      </c>
      <c r="O100" s="16">
        <v>9</v>
      </c>
      <c r="P100" s="16">
        <v>8</v>
      </c>
      <c r="Q100" s="16">
        <f>IF(COUNTA(F100:P100)=0,"",SUM(F100:P100))</f>
        <v>84</v>
      </c>
      <c r="R100" s="17">
        <f>IF(Q100="","",Q100/11)</f>
        <v>7.6363636363636367</v>
      </c>
      <c r="S100" s="15">
        <f>IF(R100="","",1+COUNTIF($R$2:$R$116,"&gt;"&amp;R100))</f>
        <v>25</v>
      </c>
      <c r="T100" s="15" t="str">
        <f>IF(Table_2e_trimestre_H[[#This Row],[Moyenne]]&gt;=5,"Validé","Non Validé")</f>
        <v>Validé</v>
      </c>
    </row>
    <row r="101" spans="1:20" ht="20.25">
      <c r="A101" s="8">
        <v>100</v>
      </c>
      <c r="B101" s="8" t="s">
        <v>128</v>
      </c>
      <c r="C101" s="8" t="s">
        <v>18</v>
      </c>
      <c r="D101" s="7">
        <v>8</v>
      </c>
      <c r="E101" s="7">
        <v>2</v>
      </c>
      <c r="F101" s="13">
        <v>6</v>
      </c>
      <c r="G101" s="13">
        <v>8</v>
      </c>
      <c r="H101" s="13">
        <v>8</v>
      </c>
      <c r="I101" s="13">
        <v>6</v>
      </c>
      <c r="J101" s="13">
        <v>4</v>
      </c>
      <c r="K101" s="13">
        <v>4</v>
      </c>
      <c r="L101" s="13">
        <v>0</v>
      </c>
      <c r="M101" s="13">
        <v>6</v>
      </c>
      <c r="N101" s="13">
        <v>1</v>
      </c>
      <c r="O101" s="13">
        <v>9</v>
      </c>
      <c r="P101" s="13">
        <v>9</v>
      </c>
      <c r="Q101" s="13">
        <f>IF(COUNTA(F101:P101)=0,"",SUM(F101:P101))</f>
        <v>61</v>
      </c>
      <c r="R101" s="14">
        <f>IF(Q101="","",Q101/11)</f>
        <v>5.5454545454545459</v>
      </c>
      <c r="S101" s="8">
        <f>IF(R101="","",1+COUNTIF($R$2:$R$116,"&gt;"&amp;R101))</f>
        <v>96</v>
      </c>
      <c r="T101" s="8" t="str">
        <f>IF(Table_2e_trimestre_H[[#This Row],[Moyenne]]&gt;=5,"Validé","Non Validé")</f>
        <v>Validé</v>
      </c>
    </row>
    <row r="102" spans="1:20" s="3" customFormat="1" ht="20.25">
      <c r="A102" s="15">
        <v>101</v>
      </c>
      <c r="B102" s="15" t="s">
        <v>129</v>
      </c>
      <c r="C102" s="15" t="s">
        <v>20</v>
      </c>
      <c r="D102" s="18">
        <v>8</v>
      </c>
      <c r="E102" s="18">
        <v>2</v>
      </c>
      <c r="F102" s="16">
        <v>8</v>
      </c>
      <c r="G102" s="16">
        <v>5</v>
      </c>
      <c r="H102" s="16">
        <v>8</v>
      </c>
      <c r="I102" s="16">
        <v>4</v>
      </c>
      <c r="J102" s="16">
        <v>5</v>
      </c>
      <c r="K102" s="16">
        <v>5</v>
      </c>
      <c r="L102" s="16">
        <v>0</v>
      </c>
      <c r="M102" s="16">
        <v>7</v>
      </c>
      <c r="N102" s="16">
        <v>7</v>
      </c>
      <c r="O102" s="16">
        <v>4</v>
      </c>
      <c r="P102" s="16">
        <v>8</v>
      </c>
      <c r="Q102" s="16">
        <f>IF(COUNTA(F102:P102)=0,"",SUM(F102:P102))</f>
        <v>61</v>
      </c>
      <c r="R102" s="17">
        <f>IF(Q102="","",Q102/11)</f>
        <v>5.5454545454545459</v>
      </c>
      <c r="S102" s="15">
        <f>IF(R102="","",1+COUNTIF($R$2:$R$116,"&gt;"&amp;R102))</f>
        <v>96</v>
      </c>
      <c r="T102" s="15" t="str">
        <f>IF(Table_2e_trimestre_H[[#This Row],[Moyenne]]&gt;=5,"Validé","Non Validé")</f>
        <v>Validé</v>
      </c>
    </row>
    <row r="103" spans="1:20" s="3" customFormat="1" ht="40.5">
      <c r="A103" s="15">
        <v>102</v>
      </c>
      <c r="B103" s="15" t="s">
        <v>101</v>
      </c>
      <c r="C103" s="15" t="s">
        <v>20</v>
      </c>
      <c r="D103" s="18">
        <v>8</v>
      </c>
      <c r="E103" s="18">
        <v>2</v>
      </c>
      <c r="F103" s="16">
        <v>6</v>
      </c>
      <c r="G103" s="16">
        <v>7</v>
      </c>
      <c r="H103" s="16">
        <v>8</v>
      </c>
      <c r="I103" s="16">
        <v>5</v>
      </c>
      <c r="J103" s="16">
        <v>5</v>
      </c>
      <c r="K103" s="16">
        <v>7</v>
      </c>
      <c r="L103" s="16">
        <v>1</v>
      </c>
      <c r="M103" s="16">
        <v>7</v>
      </c>
      <c r="N103" s="16">
        <v>2</v>
      </c>
      <c r="O103" s="16">
        <v>7</v>
      </c>
      <c r="P103" s="16">
        <v>7</v>
      </c>
      <c r="Q103" s="16">
        <f>IF(COUNTA(F103:P103)=0,"",SUM(F103:P103))</f>
        <v>62</v>
      </c>
      <c r="R103" s="17">
        <f>IF(Q103="","",Q103/11)</f>
        <v>5.6363636363636367</v>
      </c>
      <c r="S103" s="15">
        <f>IF(R103="","",1+COUNTIF($R$2:$R$116,"&gt;"&amp;R103))</f>
        <v>92</v>
      </c>
      <c r="T103" s="15" t="str">
        <f>IF(Table_2e_trimestre_H[[#This Row],[Moyenne]]&gt;=5,"Validé","Non Validé")</f>
        <v>Validé</v>
      </c>
    </row>
    <row r="104" spans="1:20" s="3" customFormat="1" ht="21.75" customHeight="1">
      <c r="A104" s="15">
        <v>103</v>
      </c>
      <c r="B104" s="15" t="s">
        <v>102</v>
      </c>
      <c r="C104" s="15" t="s">
        <v>20</v>
      </c>
      <c r="D104" s="18">
        <v>8</v>
      </c>
      <c r="E104" s="18">
        <v>2</v>
      </c>
      <c r="F104" s="16">
        <v>10</v>
      </c>
      <c r="G104" s="16">
        <v>9</v>
      </c>
      <c r="H104" s="16">
        <v>9</v>
      </c>
      <c r="I104" s="16">
        <v>10</v>
      </c>
      <c r="J104" s="16">
        <v>8</v>
      </c>
      <c r="K104" s="16">
        <v>9</v>
      </c>
      <c r="L104" s="16">
        <v>7</v>
      </c>
      <c r="M104" s="16">
        <v>8</v>
      </c>
      <c r="N104" s="16">
        <v>6</v>
      </c>
      <c r="O104" s="16">
        <v>10</v>
      </c>
      <c r="P104" s="16">
        <v>10</v>
      </c>
      <c r="Q104" s="16">
        <f>IF(COUNTA(F104:P104)=0,"",SUM(F104:P104))</f>
        <v>96</v>
      </c>
      <c r="R104" s="17">
        <f>IF(Q104="","",Q104/11)</f>
        <v>8.7272727272727266</v>
      </c>
      <c r="S104" s="15">
        <f>IF(R104="","",1+COUNTIF($R$2:$R$116,"&gt;"&amp;R104))</f>
        <v>7</v>
      </c>
      <c r="T104" s="15" t="str">
        <f>IF(Table_2e_trimestre_H[[#This Row],[Moyenne]]&gt;=5,"Validé","Non Validé")</f>
        <v>Validé</v>
      </c>
    </row>
    <row r="105" spans="1:20" s="3" customFormat="1" ht="20.25">
      <c r="A105" s="15">
        <v>104</v>
      </c>
      <c r="B105" s="15" t="s">
        <v>103</v>
      </c>
      <c r="C105" s="15" t="s">
        <v>20</v>
      </c>
      <c r="D105" s="18">
        <v>8</v>
      </c>
      <c r="E105" s="18">
        <v>2</v>
      </c>
      <c r="F105" s="16">
        <v>6</v>
      </c>
      <c r="G105" s="16">
        <v>7</v>
      </c>
      <c r="H105" s="16">
        <v>7</v>
      </c>
      <c r="I105" s="16">
        <v>7</v>
      </c>
      <c r="J105" s="16">
        <v>4</v>
      </c>
      <c r="K105" s="16">
        <v>5</v>
      </c>
      <c r="L105" s="16">
        <v>1</v>
      </c>
      <c r="M105" s="16">
        <v>5</v>
      </c>
      <c r="N105" s="16">
        <v>3</v>
      </c>
      <c r="O105" s="16">
        <v>9</v>
      </c>
      <c r="P105" s="16">
        <v>8</v>
      </c>
      <c r="Q105" s="16">
        <f>IF(COUNTA(F105:P105)=0,"",SUM(F105:P105))</f>
        <v>62</v>
      </c>
      <c r="R105" s="17">
        <f>IF(Q105="","",Q105/11)</f>
        <v>5.6363636363636367</v>
      </c>
      <c r="S105" s="15">
        <f>IF(R105="","",1+COUNTIF($R$2:$R$116,"&gt;"&amp;R105))</f>
        <v>92</v>
      </c>
      <c r="T105" s="15" t="str">
        <f>IF(Table_2e_trimestre_H[[#This Row],[Moyenne]]&gt;=5,"Validé","Non Validé")</f>
        <v>Validé</v>
      </c>
    </row>
    <row r="106" spans="1:20" s="3" customFormat="1" ht="20.25">
      <c r="A106" s="15">
        <v>105</v>
      </c>
      <c r="B106" s="15" t="s">
        <v>104</v>
      </c>
      <c r="C106" s="15" t="s">
        <v>20</v>
      </c>
      <c r="D106" s="18">
        <v>8</v>
      </c>
      <c r="E106" s="18">
        <v>2</v>
      </c>
      <c r="F106" s="16">
        <v>10</v>
      </c>
      <c r="G106" s="16">
        <v>8</v>
      </c>
      <c r="H106" s="16">
        <v>9</v>
      </c>
      <c r="I106" s="16">
        <v>9</v>
      </c>
      <c r="J106" s="16">
        <v>7</v>
      </c>
      <c r="K106" s="16">
        <v>8</v>
      </c>
      <c r="L106" s="16">
        <v>7</v>
      </c>
      <c r="M106" s="16">
        <v>8</v>
      </c>
      <c r="N106" s="16">
        <v>8</v>
      </c>
      <c r="O106" s="16">
        <v>8</v>
      </c>
      <c r="P106" s="16">
        <v>9</v>
      </c>
      <c r="Q106" s="16">
        <f>IF(COUNTA(F106:P106)=0,"",SUM(F106:P106))</f>
        <v>91</v>
      </c>
      <c r="R106" s="17">
        <f>IF(Q106="","",Q106/11)</f>
        <v>8.2727272727272734</v>
      </c>
      <c r="S106" s="15">
        <f>IF(R106="","",1+COUNTIF($R$2:$R$116,"&gt;"&amp;R106))</f>
        <v>17</v>
      </c>
      <c r="T106" s="15" t="str">
        <f>IF(Table_2e_trimestre_H[[#This Row],[Moyenne]]&gt;=5,"Validé","Non Validé")</f>
        <v>Validé</v>
      </c>
    </row>
    <row r="107" spans="1:20" ht="20.25">
      <c r="A107" s="8">
        <v>106</v>
      </c>
      <c r="B107" s="8" t="s">
        <v>105</v>
      </c>
      <c r="C107" s="8" t="s">
        <v>18</v>
      </c>
      <c r="D107" s="7">
        <v>8</v>
      </c>
      <c r="E107" s="7">
        <v>2</v>
      </c>
      <c r="F107" s="13">
        <v>8</v>
      </c>
      <c r="G107" s="13">
        <v>7</v>
      </c>
      <c r="H107" s="13">
        <v>9</v>
      </c>
      <c r="I107" s="13">
        <v>9</v>
      </c>
      <c r="J107" s="13">
        <v>8</v>
      </c>
      <c r="K107" s="13">
        <v>6</v>
      </c>
      <c r="L107" s="13">
        <v>2</v>
      </c>
      <c r="M107" s="13">
        <v>7</v>
      </c>
      <c r="N107" s="13">
        <v>8</v>
      </c>
      <c r="O107" s="13">
        <v>8</v>
      </c>
      <c r="P107" s="13">
        <v>9</v>
      </c>
      <c r="Q107" s="13">
        <f>IF(COUNTA(F107:P107)=0,"",SUM(F107:P107))</f>
        <v>81</v>
      </c>
      <c r="R107" s="14">
        <f>IF(Q107="","",Q107/11)</f>
        <v>7.3636363636363633</v>
      </c>
      <c r="S107" s="8">
        <f>IF(R107="","",1+COUNTIF($R$2:$R$116,"&gt;"&amp;R107))</f>
        <v>33</v>
      </c>
      <c r="T107" s="8" t="str">
        <f>IF(Table_2e_trimestre_H[[#This Row],[Moyenne]]&gt;=5,"Validé","Non Validé")</f>
        <v>Validé</v>
      </c>
    </row>
    <row r="108" spans="1:20" ht="20.25">
      <c r="A108" s="8">
        <v>107</v>
      </c>
      <c r="B108" s="8" t="s">
        <v>106</v>
      </c>
      <c r="C108" s="8" t="s">
        <v>18</v>
      </c>
      <c r="D108" s="7">
        <v>8</v>
      </c>
      <c r="E108" s="7">
        <v>2</v>
      </c>
      <c r="F108" s="13">
        <v>6</v>
      </c>
      <c r="G108" s="13">
        <v>6</v>
      </c>
      <c r="H108" s="13">
        <v>8</v>
      </c>
      <c r="I108" s="13">
        <v>3</v>
      </c>
      <c r="J108" s="13">
        <v>7</v>
      </c>
      <c r="K108" s="13">
        <v>9</v>
      </c>
      <c r="L108" s="13">
        <v>0</v>
      </c>
      <c r="M108" s="13">
        <v>6</v>
      </c>
      <c r="N108" s="13">
        <v>1</v>
      </c>
      <c r="O108" s="13">
        <v>6</v>
      </c>
      <c r="P108" s="13">
        <v>9</v>
      </c>
      <c r="Q108" s="13">
        <f>IF(COUNTA(F108:P108)=0,"",SUM(F108:P108))</f>
        <v>61</v>
      </c>
      <c r="R108" s="14">
        <f>IF(Q108="","",Q108/11)</f>
        <v>5.5454545454545459</v>
      </c>
      <c r="S108" s="8">
        <f>IF(R108="","",1+COUNTIF($R$2:$R$116,"&gt;"&amp;R108))</f>
        <v>96</v>
      </c>
      <c r="T108" s="8" t="str">
        <f>IF(Table_2e_trimestre_H[[#This Row],[Moyenne]]&gt;=5,"Validé","Non Validé")</f>
        <v>Validé</v>
      </c>
    </row>
    <row r="109" spans="1:20" ht="20.25">
      <c r="A109" s="8">
        <v>108</v>
      </c>
      <c r="B109" s="8" t="s">
        <v>107</v>
      </c>
      <c r="C109" s="8" t="s">
        <v>18</v>
      </c>
      <c r="D109" s="7">
        <v>8</v>
      </c>
      <c r="E109" s="7">
        <v>2</v>
      </c>
      <c r="F109" s="13">
        <v>8</v>
      </c>
      <c r="G109" s="13">
        <v>8</v>
      </c>
      <c r="H109" s="13">
        <v>8</v>
      </c>
      <c r="I109" s="13">
        <v>9</v>
      </c>
      <c r="J109" s="13">
        <v>2</v>
      </c>
      <c r="K109" s="13">
        <v>0</v>
      </c>
      <c r="L109" s="13">
        <v>0</v>
      </c>
      <c r="M109" s="13">
        <v>7</v>
      </c>
      <c r="N109" s="13">
        <v>0</v>
      </c>
      <c r="O109" s="13">
        <v>8</v>
      </c>
      <c r="P109" s="13">
        <v>8</v>
      </c>
      <c r="Q109" s="13">
        <f>IF(COUNTA(F109:P109)=0,"",SUM(F109:P109))</f>
        <v>58</v>
      </c>
      <c r="R109" s="14">
        <f>IF(Q109="","",Q109/11)</f>
        <v>5.2727272727272725</v>
      </c>
      <c r="S109" s="8">
        <f>IF(R109="","",1+COUNTIF($R$2:$R$116,"&gt;"&amp;R109))</f>
        <v>106</v>
      </c>
      <c r="T109" s="8" t="str">
        <f>IF(Table_2e_trimestre_H[[#This Row],[Moyenne]]&gt;=5,"Validé","Non Validé")</f>
        <v>Validé</v>
      </c>
    </row>
    <row r="110" spans="1:20" ht="20.25">
      <c r="A110" s="8">
        <v>109</v>
      </c>
      <c r="B110" s="8" t="s">
        <v>130</v>
      </c>
      <c r="C110" s="8" t="s">
        <v>18</v>
      </c>
      <c r="D110" s="7">
        <v>8</v>
      </c>
      <c r="E110" s="7">
        <v>2</v>
      </c>
      <c r="F110" s="13">
        <v>6</v>
      </c>
      <c r="G110" s="13">
        <v>6</v>
      </c>
      <c r="H110" s="13">
        <v>9</v>
      </c>
      <c r="I110" s="13">
        <v>2</v>
      </c>
      <c r="J110" s="13">
        <v>6</v>
      </c>
      <c r="K110" s="13">
        <v>6</v>
      </c>
      <c r="L110" s="13">
        <v>6</v>
      </c>
      <c r="M110" s="13">
        <v>5</v>
      </c>
      <c r="N110" s="13">
        <v>0</v>
      </c>
      <c r="O110" s="13">
        <v>8</v>
      </c>
      <c r="P110" s="13">
        <v>10</v>
      </c>
      <c r="Q110" s="13">
        <f>IF(COUNTA(F110:P110)=0,"",SUM(F110:P110))</f>
        <v>64</v>
      </c>
      <c r="R110" s="14">
        <f>IF(Q110="","",Q110/11)</f>
        <v>5.8181818181818183</v>
      </c>
      <c r="S110" s="8">
        <f>IF(R110="","",1+COUNTIF($R$2:$R$116,"&gt;"&amp;R110))</f>
        <v>83</v>
      </c>
      <c r="T110" s="8" t="str">
        <f>IF(Table_2e_trimestre_H[[#This Row],[Moyenne]]&gt;=5,"Validé","Non Validé")</f>
        <v>Validé</v>
      </c>
    </row>
    <row r="111" spans="1:20" ht="20.25">
      <c r="A111" s="8">
        <v>110</v>
      </c>
      <c r="B111" s="8" t="s">
        <v>108</v>
      </c>
      <c r="C111" s="8" t="s">
        <v>18</v>
      </c>
      <c r="D111" s="7">
        <v>8</v>
      </c>
      <c r="E111" s="7">
        <v>2</v>
      </c>
      <c r="F111" s="13">
        <v>6</v>
      </c>
      <c r="G111" s="13">
        <v>5</v>
      </c>
      <c r="H111" s="13">
        <v>7</v>
      </c>
      <c r="I111" s="13">
        <v>2</v>
      </c>
      <c r="J111" s="13">
        <v>6</v>
      </c>
      <c r="K111" s="13">
        <v>6</v>
      </c>
      <c r="L111" s="13">
        <v>6</v>
      </c>
      <c r="M111" s="13">
        <v>5</v>
      </c>
      <c r="N111" s="13">
        <v>2</v>
      </c>
      <c r="O111" s="13">
        <v>8</v>
      </c>
      <c r="P111" s="13">
        <v>8</v>
      </c>
      <c r="Q111" s="13">
        <f>IF(COUNTA(F111:P111)=0,"",SUM(F111:P111))</f>
        <v>61</v>
      </c>
      <c r="R111" s="14">
        <f>IF(Q111="","",Q111/11)</f>
        <v>5.5454545454545459</v>
      </c>
      <c r="S111" s="8">
        <f>IF(R111="","",1+COUNTIF($R$2:$R$116,"&gt;"&amp;R111))</f>
        <v>96</v>
      </c>
      <c r="T111" s="8" t="str">
        <f>IF(Table_2e_trimestre_H[[#This Row],[Moyenne]]&gt;=5,"Validé","Non Validé")</f>
        <v>Validé</v>
      </c>
    </row>
    <row r="112" spans="1:20" ht="20.25">
      <c r="A112" s="8">
        <v>111</v>
      </c>
      <c r="B112" s="8" t="s">
        <v>109</v>
      </c>
      <c r="C112" s="8" t="s">
        <v>18</v>
      </c>
      <c r="D112" s="7">
        <v>8</v>
      </c>
      <c r="E112" s="7">
        <v>2</v>
      </c>
      <c r="F112" s="13">
        <v>6</v>
      </c>
      <c r="G112" s="13">
        <v>8</v>
      </c>
      <c r="H112" s="13">
        <v>8</v>
      </c>
      <c r="I112" s="13">
        <v>8</v>
      </c>
      <c r="J112" s="13">
        <v>6</v>
      </c>
      <c r="K112" s="13">
        <v>8</v>
      </c>
      <c r="L112" s="13">
        <v>3</v>
      </c>
      <c r="M112" s="13">
        <v>6</v>
      </c>
      <c r="N112" s="13">
        <v>3</v>
      </c>
      <c r="O112" s="13">
        <v>7</v>
      </c>
      <c r="P112" s="13">
        <v>9</v>
      </c>
      <c r="Q112" s="13">
        <f>IF(COUNTA(F112:P112)=0,"",SUM(F112:P112))</f>
        <v>72</v>
      </c>
      <c r="R112" s="14">
        <f>IF(Q112="","",Q112/11)</f>
        <v>6.5454545454545459</v>
      </c>
      <c r="S112" s="8">
        <f>IF(R112="","",1+COUNTIF($R$2:$R$116,"&gt;"&amp;R112))</f>
        <v>59</v>
      </c>
      <c r="T112" s="8" t="str">
        <f>IF(Table_2e_trimestre_H[[#This Row],[Moyenne]]&gt;=5,"Validé","Non Validé")</f>
        <v>Validé</v>
      </c>
    </row>
    <row r="113" spans="1:20" s="3" customFormat="1" ht="20.25">
      <c r="A113" s="15">
        <v>112</v>
      </c>
      <c r="B113" s="15" t="s">
        <v>131</v>
      </c>
      <c r="C113" s="15" t="s">
        <v>20</v>
      </c>
      <c r="D113" s="18">
        <v>8</v>
      </c>
      <c r="E113" s="18">
        <v>2</v>
      </c>
      <c r="F113" s="16">
        <v>8</v>
      </c>
      <c r="G113" s="16">
        <v>9</v>
      </c>
      <c r="H113" s="16">
        <v>8</v>
      </c>
      <c r="I113" s="16">
        <v>9</v>
      </c>
      <c r="J113" s="16">
        <v>7</v>
      </c>
      <c r="K113" s="16">
        <v>7</v>
      </c>
      <c r="L113" s="16">
        <v>5</v>
      </c>
      <c r="M113" s="16">
        <v>6</v>
      </c>
      <c r="N113" s="16">
        <v>6</v>
      </c>
      <c r="O113" s="16">
        <v>8</v>
      </c>
      <c r="P113" s="16">
        <v>8</v>
      </c>
      <c r="Q113" s="16">
        <f>IF(COUNTA(F113:P113)=0,"",SUM(F113:P113))</f>
        <v>81</v>
      </c>
      <c r="R113" s="17">
        <f>IF(Q113="","",Q113/11)</f>
        <v>7.3636363636363633</v>
      </c>
      <c r="S113" s="15">
        <f>IF(R113="","",1+COUNTIF($R$2:$R$116,"&gt;"&amp;R113))</f>
        <v>33</v>
      </c>
      <c r="T113" s="15" t="str">
        <f>IF(Table_2e_trimestre_H[[#This Row],[Moyenne]]&gt;=5,"Validé","Non Validé")</f>
        <v>Validé</v>
      </c>
    </row>
    <row r="114" spans="1:20" ht="20.25">
      <c r="A114" s="8">
        <v>113</v>
      </c>
      <c r="B114" s="8" t="s">
        <v>110</v>
      </c>
      <c r="C114" s="8" t="s">
        <v>18</v>
      </c>
      <c r="D114" s="7">
        <v>8</v>
      </c>
      <c r="E114" s="7">
        <v>2</v>
      </c>
      <c r="F114" s="13">
        <v>8</v>
      </c>
      <c r="G114" s="13">
        <v>8</v>
      </c>
      <c r="H114" s="13">
        <v>8</v>
      </c>
      <c r="I114" s="13">
        <v>9</v>
      </c>
      <c r="J114" s="13">
        <v>8</v>
      </c>
      <c r="K114" s="13">
        <v>7</v>
      </c>
      <c r="L114" s="13">
        <v>5</v>
      </c>
      <c r="M114" s="13">
        <v>6</v>
      </c>
      <c r="N114" s="13">
        <v>5</v>
      </c>
      <c r="O114" s="13">
        <v>9</v>
      </c>
      <c r="P114" s="13">
        <v>9</v>
      </c>
      <c r="Q114" s="13">
        <f>IF(COUNTA(F114:P114)=0,"",SUM(F114:P114))</f>
        <v>82</v>
      </c>
      <c r="R114" s="14">
        <f>IF(Q114="","",Q114/11)</f>
        <v>7.4545454545454541</v>
      </c>
      <c r="S114" s="8">
        <f>IF(R114="","",1+COUNTIF($R$2:$R$116,"&gt;"&amp;R114))</f>
        <v>27</v>
      </c>
      <c r="T114" s="8" t="str">
        <f>IF(Table_2e_trimestre_H[[#This Row],[Moyenne]]&gt;=5,"Validé","Non Validé")</f>
        <v>Validé</v>
      </c>
    </row>
    <row r="115" spans="1:20" s="3" customFormat="1" ht="20.25">
      <c r="A115" s="15">
        <v>114</v>
      </c>
      <c r="B115" s="15" t="s">
        <v>111</v>
      </c>
      <c r="C115" s="15" t="s">
        <v>20</v>
      </c>
      <c r="D115" s="18">
        <v>8</v>
      </c>
      <c r="E115" s="18">
        <v>2</v>
      </c>
      <c r="F115" s="16">
        <v>10</v>
      </c>
      <c r="G115" s="16">
        <v>9</v>
      </c>
      <c r="H115" s="16">
        <v>8</v>
      </c>
      <c r="I115" s="16">
        <v>8</v>
      </c>
      <c r="J115" s="16">
        <v>7</v>
      </c>
      <c r="K115" s="16">
        <v>9</v>
      </c>
      <c r="L115" s="16">
        <v>6</v>
      </c>
      <c r="M115" s="16">
        <v>6</v>
      </c>
      <c r="N115" s="16">
        <v>8</v>
      </c>
      <c r="O115" s="16">
        <v>10</v>
      </c>
      <c r="P115" s="16">
        <v>10</v>
      </c>
      <c r="Q115" s="16">
        <f>IF(COUNTA(F115:P115)=0,"",SUM(F115:P115))</f>
        <v>91</v>
      </c>
      <c r="R115" s="17">
        <f>IF(Q115="","",Q115/11)</f>
        <v>8.2727272727272734</v>
      </c>
      <c r="S115" s="15">
        <f>IF(R115="","",1+COUNTIF($R$2:$R$116,"&gt;"&amp;R115))</f>
        <v>17</v>
      </c>
      <c r="T115" s="15" t="str">
        <f>IF(Table_2e_trimestre_H[[#This Row],[Moyenne]]&gt;=5,"Validé","Non Validé")</f>
        <v>Validé</v>
      </c>
    </row>
    <row r="116" spans="1:20" ht="20.25">
      <c r="A116" s="8">
        <v>115</v>
      </c>
      <c r="B116" s="8" t="s">
        <v>112</v>
      </c>
      <c r="C116" s="8" t="s">
        <v>18</v>
      </c>
      <c r="D116" s="7">
        <v>8</v>
      </c>
      <c r="E116" s="7">
        <v>2</v>
      </c>
      <c r="F116" s="13">
        <v>10</v>
      </c>
      <c r="G116" s="13">
        <v>8</v>
      </c>
      <c r="H116" s="13">
        <v>9</v>
      </c>
      <c r="I116" s="13">
        <v>8</v>
      </c>
      <c r="J116" s="13">
        <v>7</v>
      </c>
      <c r="K116" s="13">
        <v>7</v>
      </c>
      <c r="L116" s="13">
        <v>1</v>
      </c>
      <c r="M116" s="13">
        <v>6</v>
      </c>
      <c r="N116" s="13">
        <v>4</v>
      </c>
      <c r="O116" s="13">
        <v>8</v>
      </c>
      <c r="P116" s="13">
        <v>8</v>
      </c>
      <c r="Q116" s="13">
        <f>IF(COUNTA(F116:P116)=0,"",SUM(F116:P116))</f>
        <v>76</v>
      </c>
      <c r="R116" s="14">
        <f>IF(Q116="","",Q116/11)</f>
        <v>6.9090909090909092</v>
      </c>
      <c r="S116" s="8">
        <f>IF(R116="","",1+COUNTIF($R$2:$R$116,"&gt;"&amp;R116))</f>
        <v>47</v>
      </c>
      <c r="T116" s="8" t="str">
        <f>IF(Table_2e_trimestre_H[[#This Row],[Moyenne]]&gt;=5,"Validé","Non Validé")</f>
        <v>Validé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16"/>
  <sheetViews>
    <sheetView tabSelected="1" topLeftCell="B1" workbookViewId="0">
      <selection activeCell="B6" sqref="B6"/>
    </sheetView>
  </sheetViews>
  <sheetFormatPr baseColWidth="10" defaultColWidth="9" defaultRowHeight="14.25"/>
  <cols>
    <col min="1" max="1" width="6" customWidth="1"/>
    <col min="2" max="2" width="41.125" customWidth="1"/>
    <col min="3" max="3" width="8" customWidth="1"/>
    <col min="4" max="4" width="13.375" customWidth="1"/>
    <col min="5" max="5" width="11.625" customWidth="1"/>
    <col min="6" max="17" width="10" customWidth="1"/>
    <col min="18" max="18" width="16" customWidth="1"/>
  </cols>
  <sheetData>
    <row r="1" spans="1:20" ht="36" customHeight="1">
      <c r="A1" s="1" t="s">
        <v>0</v>
      </c>
      <c r="B1" s="1" t="s">
        <v>1</v>
      </c>
      <c r="C1" s="1" t="s">
        <v>2</v>
      </c>
      <c r="D1" s="1" t="s">
        <v>135</v>
      </c>
      <c r="E1" s="1" t="s">
        <v>136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0" s="11" customFormat="1" ht="20.25">
      <c r="A2" s="7">
        <v>1</v>
      </c>
      <c r="B2" s="8" t="s">
        <v>132</v>
      </c>
      <c r="C2" s="7" t="s">
        <v>18</v>
      </c>
      <c r="D2" s="7">
        <v>9</v>
      </c>
      <c r="E2" s="7">
        <v>2</v>
      </c>
      <c r="F2" s="9">
        <v>10</v>
      </c>
      <c r="G2" s="9">
        <v>10</v>
      </c>
      <c r="H2" s="9">
        <v>8</v>
      </c>
      <c r="I2" s="9">
        <v>10</v>
      </c>
      <c r="J2" s="9">
        <v>10</v>
      </c>
      <c r="K2" s="9">
        <v>10</v>
      </c>
      <c r="L2" s="9">
        <v>8</v>
      </c>
      <c r="M2" s="9">
        <v>9</v>
      </c>
      <c r="N2" s="9">
        <v>10</v>
      </c>
      <c r="O2" s="9">
        <v>10</v>
      </c>
      <c r="P2" s="9">
        <v>10</v>
      </c>
      <c r="Q2" s="9">
        <f>IF(COUNTA(F2:P2)=0,"",SUM(F2:P2))</f>
        <v>105</v>
      </c>
      <c r="R2" s="10">
        <f>IF(Q2="","",Q2/11)</f>
        <v>9.545454545454545</v>
      </c>
      <c r="S2" s="7">
        <f>IF(R2="","",1+COUNTIF($R$2:$R$116,"&gt;"&amp;R2))</f>
        <v>3</v>
      </c>
      <c r="T2" s="7" t="str">
        <f>IF(Table_3e_trimestre_H[[#This Row],[Moyenne]]&gt;5,"Validé","Non Validé")</f>
        <v>Validé</v>
      </c>
    </row>
    <row r="3" spans="1:20" s="12" customFormat="1" ht="20.25">
      <c r="A3" s="18">
        <v>2</v>
      </c>
      <c r="B3" s="15" t="s">
        <v>19</v>
      </c>
      <c r="C3" s="18" t="s">
        <v>20</v>
      </c>
      <c r="D3" s="18">
        <v>8</v>
      </c>
      <c r="E3" s="18">
        <v>2</v>
      </c>
      <c r="F3" s="19">
        <v>9</v>
      </c>
      <c r="G3" s="19">
        <v>10</v>
      </c>
      <c r="H3" s="19">
        <v>8</v>
      </c>
      <c r="I3" s="19">
        <v>10</v>
      </c>
      <c r="J3" s="19">
        <v>8</v>
      </c>
      <c r="K3" s="19">
        <v>10</v>
      </c>
      <c r="L3" s="19">
        <v>6</v>
      </c>
      <c r="M3" s="19">
        <v>7</v>
      </c>
      <c r="N3" s="19">
        <v>6</v>
      </c>
      <c r="O3" s="19">
        <v>10</v>
      </c>
      <c r="P3" s="19">
        <v>2</v>
      </c>
      <c r="Q3" s="19">
        <f>IF(COUNTA(F3:P3)=0,"",SUM(F3:P3))</f>
        <v>86</v>
      </c>
      <c r="R3" s="20">
        <f>IF(Q3="","",Q3/11)</f>
        <v>7.8181818181818183</v>
      </c>
      <c r="S3" s="18">
        <f>IF(R3="","",1+COUNTIF($R$2:$R$116,"&gt;"&amp;R3))</f>
        <v>39</v>
      </c>
      <c r="T3" s="18" t="str">
        <f>IF(Table_3e_trimestre_H[[#This Row],[Moyenne]]&gt;5,"Validé","Non Validé")</f>
        <v>Validé</v>
      </c>
    </row>
    <row r="4" spans="1:20" s="12" customFormat="1" ht="20.25">
      <c r="A4" s="18">
        <v>3</v>
      </c>
      <c r="B4" s="15" t="s">
        <v>21</v>
      </c>
      <c r="C4" s="18" t="s">
        <v>20</v>
      </c>
      <c r="D4" s="18">
        <v>8</v>
      </c>
      <c r="E4" s="18">
        <v>2</v>
      </c>
      <c r="F4" s="19">
        <v>7</v>
      </c>
      <c r="G4" s="19">
        <v>10</v>
      </c>
      <c r="H4" s="19">
        <v>7</v>
      </c>
      <c r="I4" s="19">
        <v>10</v>
      </c>
      <c r="J4" s="19">
        <v>7</v>
      </c>
      <c r="K4" s="19">
        <v>10</v>
      </c>
      <c r="L4" s="19">
        <v>9</v>
      </c>
      <c r="M4" s="19">
        <v>7</v>
      </c>
      <c r="N4" s="19">
        <v>9</v>
      </c>
      <c r="O4" s="19">
        <v>10</v>
      </c>
      <c r="P4" s="19">
        <v>10</v>
      </c>
      <c r="Q4" s="19">
        <f>IF(COUNTA(F4:P4)=0,"",SUM(F4:P4))</f>
        <v>96</v>
      </c>
      <c r="R4" s="20">
        <f>IF(Q4="","",Q4/11)</f>
        <v>8.7272727272727266</v>
      </c>
      <c r="S4" s="18">
        <f>IF(R4="","",1+COUNTIF($R$2:$R$116,"&gt;"&amp;R4))</f>
        <v>18</v>
      </c>
      <c r="T4" s="18" t="str">
        <f>IF(Table_3e_trimestre_H[[#This Row],[Moyenne]]&gt;5,"Validé","Non Validé")</f>
        <v>Validé</v>
      </c>
    </row>
    <row r="5" spans="1:20" s="11" customFormat="1" ht="20.25">
      <c r="A5" s="7">
        <v>4</v>
      </c>
      <c r="B5" s="8" t="s">
        <v>22</v>
      </c>
      <c r="C5" s="7" t="s">
        <v>18</v>
      </c>
      <c r="D5" s="7">
        <v>8</v>
      </c>
      <c r="E5" s="7">
        <v>2</v>
      </c>
      <c r="F5" s="9">
        <v>8</v>
      </c>
      <c r="G5" s="9">
        <v>10</v>
      </c>
      <c r="H5" s="9">
        <v>8</v>
      </c>
      <c r="I5" s="9">
        <v>9</v>
      </c>
      <c r="J5" s="9">
        <v>8</v>
      </c>
      <c r="K5" s="9">
        <v>10</v>
      </c>
      <c r="L5" s="9">
        <v>3</v>
      </c>
      <c r="M5" s="9">
        <v>8</v>
      </c>
      <c r="N5" s="9">
        <v>8</v>
      </c>
      <c r="O5" s="9">
        <v>10</v>
      </c>
      <c r="P5" s="9">
        <v>10</v>
      </c>
      <c r="Q5" s="9">
        <f>IF(COUNTA(F5:P5)=0,"",SUM(F5:P5))</f>
        <v>92</v>
      </c>
      <c r="R5" s="10">
        <f>IF(Q5="","",Q5/11)</f>
        <v>8.3636363636363633</v>
      </c>
      <c r="S5" s="7">
        <f>IF(R5="","",1+COUNTIF($R$2:$R$116,"&gt;"&amp;R5))</f>
        <v>24</v>
      </c>
      <c r="T5" s="7" t="str">
        <f>IF(Table_3e_trimestre_H[[#This Row],[Moyenne]]&gt;5,"Validé","Non Validé")</f>
        <v>Validé</v>
      </c>
    </row>
    <row r="6" spans="1:20" s="12" customFormat="1" ht="20.25">
      <c r="A6" s="18">
        <v>5</v>
      </c>
      <c r="B6" s="15" t="s">
        <v>23</v>
      </c>
      <c r="C6" s="18" t="s">
        <v>20</v>
      </c>
      <c r="D6" s="18">
        <v>8</v>
      </c>
      <c r="E6" s="18">
        <v>2</v>
      </c>
      <c r="F6" s="19">
        <v>9</v>
      </c>
      <c r="G6" s="19">
        <v>10</v>
      </c>
      <c r="H6" s="19">
        <v>6</v>
      </c>
      <c r="I6" s="19">
        <v>8</v>
      </c>
      <c r="J6" s="19">
        <v>6</v>
      </c>
      <c r="K6" s="19">
        <v>8</v>
      </c>
      <c r="L6" s="19">
        <v>3</v>
      </c>
      <c r="M6" s="19">
        <v>3</v>
      </c>
      <c r="N6" s="19">
        <v>5</v>
      </c>
      <c r="O6" s="19">
        <v>10</v>
      </c>
      <c r="P6" s="19">
        <v>10</v>
      </c>
      <c r="Q6" s="19">
        <f>IF(COUNTA(F6:P6)=0,"",SUM(F6:P6))</f>
        <v>78</v>
      </c>
      <c r="R6" s="20">
        <f>IF(Q6="","",Q6/11)</f>
        <v>7.0909090909090908</v>
      </c>
      <c r="S6" s="18">
        <f>IF(R6="","",1+COUNTIF($R$2:$R$116,"&gt;"&amp;R6))</f>
        <v>64</v>
      </c>
      <c r="T6" s="18" t="str">
        <f>IF(Table_3e_trimestre_H[[#This Row],[Moyenne]]&gt;5,"Validé","Non Validé")</f>
        <v>Validé</v>
      </c>
    </row>
    <row r="7" spans="1:20" s="11" customFormat="1" ht="20.25">
      <c r="A7" s="7">
        <v>6</v>
      </c>
      <c r="B7" s="8" t="s">
        <v>24</v>
      </c>
      <c r="C7" s="7" t="s">
        <v>18</v>
      </c>
      <c r="D7" s="7">
        <v>8</v>
      </c>
      <c r="E7" s="7">
        <v>2</v>
      </c>
      <c r="F7" s="9">
        <v>10</v>
      </c>
      <c r="G7" s="9">
        <v>10</v>
      </c>
      <c r="H7" s="9">
        <v>9</v>
      </c>
      <c r="I7" s="9">
        <v>9</v>
      </c>
      <c r="J7" s="9">
        <v>8</v>
      </c>
      <c r="K7" s="9">
        <v>8</v>
      </c>
      <c r="L7" s="9">
        <v>9</v>
      </c>
      <c r="M7" s="9">
        <v>5</v>
      </c>
      <c r="N7" s="9">
        <v>6</v>
      </c>
      <c r="O7" s="9">
        <v>10</v>
      </c>
      <c r="P7" s="9">
        <v>10</v>
      </c>
      <c r="Q7" s="9">
        <f>IF(COUNTA(F7:P7)=0,"",SUM(F7:P7))</f>
        <v>94</v>
      </c>
      <c r="R7" s="10">
        <f>IF(Q7="","",Q7/11)</f>
        <v>8.545454545454545</v>
      </c>
      <c r="S7" s="7">
        <f>IF(R7="","",1+COUNTIF($R$2:$R$116,"&gt;"&amp;R7))</f>
        <v>22</v>
      </c>
      <c r="T7" s="7" t="str">
        <f>IF(Table_3e_trimestre_H[[#This Row],[Moyenne]]&gt;5,"Validé","Non Validé")</f>
        <v>Validé</v>
      </c>
    </row>
    <row r="8" spans="1:20" s="12" customFormat="1" ht="20.25">
      <c r="A8" s="18">
        <v>7</v>
      </c>
      <c r="B8" s="15" t="s">
        <v>25</v>
      </c>
      <c r="C8" s="18" t="s">
        <v>20</v>
      </c>
      <c r="D8" s="18">
        <v>8</v>
      </c>
      <c r="E8" s="18">
        <v>2</v>
      </c>
      <c r="F8" s="19">
        <v>8</v>
      </c>
      <c r="G8" s="19">
        <v>8</v>
      </c>
      <c r="H8" s="19">
        <v>8</v>
      </c>
      <c r="I8" s="19">
        <v>4</v>
      </c>
      <c r="J8" s="19">
        <v>4</v>
      </c>
      <c r="K8" s="19">
        <v>9</v>
      </c>
      <c r="L8" s="19">
        <v>1</v>
      </c>
      <c r="M8" s="19">
        <v>6</v>
      </c>
      <c r="N8" s="19">
        <v>2</v>
      </c>
      <c r="O8" s="19">
        <v>8</v>
      </c>
      <c r="P8" s="19">
        <v>6</v>
      </c>
      <c r="Q8" s="19">
        <f>IF(COUNTA(F8:P8)=0,"",SUM(F8:P8))</f>
        <v>64</v>
      </c>
      <c r="R8" s="20">
        <f>IF(Q8="","",Q8/11)</f>
        <v>5.8181818181818183</v>
      </c>
      <c r="S8" s="18">
        <f>IF(R8="","",1+COUNTIF($R$2:$R$116,"&gt;"&amp;R8))</f>
        <v>104</v>
      </c>
      <c r="T8" s="18" t="str">
        <f>IF(Table_3e_trimestre_H[[#This Row],[Moyenne]]&gt;5,"Validé","Non Validé")</f>
        <v>Validé</v>
      </c>
    </row>
    <row r="9" spans="1:20" s="12" customFormat="1" ht="20.25">
      <c r="A9" s="18">
        <v>8</v>
      </c>
      <c r="B9" s="15" t="s">
        <v>26</v>
      </c>
      <c r="C9" s="18" t="s">
        <v>20</v>
      </c>
      <c r="D9" s="18">
        <v>8</v>
      </c>
      <c r="E9" s="18">
        <v>2</v>
      </c>
      <c r="F9" s="19">
        <v>9</v>
      </c>
      <c r="G9" s="19">
        <v>10</v>
      </c>
      <c r="H9" s="19">
        <v>8</v>
      </c>
      <c r="I9" s="19">
        <v>10</v>
      </c>
      <c r="J9" s="19">
        <v>10</v>
      </c>
      <c r="K9" s="19">
        <v>10</v>
      </c>
      <c r="L9" s="19">
        <v>5</v>
      </c>
      <c r="M9" s="19">
        <v>9</v>
      </c>
      <c r="N9" s="19">
        <v>8</v>
      </c>
      <c r="O9" s="19">
        <v>10</v>
      </c>
      <c r="P9" s="19">
        <v>10</v>
      </c>
      <c r="Q9" s="19">
        <f>IF(COUNTA(F9:P9)=0,"",SUM(F9:P9))</f>
        <v>99</v>
      </c>
      <c r="R9" s="20">
        <f>IF(Q9="","",Q9/11)</f>
        <v>9</v>
      </c>
      <c r="S9" s="18">
        <f>IF(R9="","",1+COUNTIF($R$2:$R$116,"&gt;"&amp;R9))</f>
        <v>9</v>
      </c>
      <c r="T9" s="18" t="str">
        <f>IF(Table_3e_trimestre_H[[#This Row],[Moyenne]]&gt;5,"Validé","Non Validé")</f>
        <v>Validé</v>
      </c>
    </row>
    <row r="10" spans="1:20" s="11" customFormat="1" ht="20.25">
      <c r="A10" s="7">
        <v>9</v>
      </c>
      <c r="B10" s="8" t="s">
        <v>27</v>
      </c>
      <c r="C10" s="7" t="s">
        <v>18</v>
      </c>
      <c r="D10" s="7">
        <v>8</v>
      </c>
      <c r="E10" s="7">
        <v>2</v>
      </c>
      <c r="F10" s="9">
        <v>10</v>
      </c>
      <c r="G10" s="9">
        <v>10</v>
      </c>
      <c r="H10" s="9">
        <v>9</v>
      </c>
      <c r="I10" s="9">
        <v>4</v>
      </c>
      <c r="J10" s="9">
        <v>7</v>
      </c>
      <c r="K10" s="9">
        <v>9</v>
      </c>
      <c r="L10" s="9">
        <v>2</v>
      </c>
      <c r="M10" s="9">
        <v>5</v>
      </c>
      <c r="N10" s="9">
        <v>2</v>
      </c>
      <c r="O10" s="9">
        <v>10</v>
      </c>
      <c r="P10" s="9">
        <v>4</v>
      </c>
      <c r="Q10" s="9">
        <f>IF(COUNTA(F10:P10)=0,"",SUM(F10:P10))</f>
        <v>72</v>
      </c>
      <c r="R10" s="10">
        <f>IF(Q10="","",Q10/11)</f>
        <v>6.5454545454545459</v>
      </c>
      <c r="S10" s="7">
        <f>IF(R10="","",1+COUNTIF($R$2:$R$116,"&gt;"&amp;R10))</f>
        <v>83</v>
      </c>
      <c r="T10" s="7" t="str">
        <f>IF(Table_3e_trimestre_H[[#This Row],[Moyenne]]&gt;5,"Validé","Non Validé")</f>
        <v>Validé</v>
      </c>
    </row>
    <row r="11" spans="1:20" s="11" customFormat="1" ht="20.25">
      <c r="A11" s="7">
        <v>10</v>
      </c>
      <c r="B11" s="8" t="s">
        <v>28</v>
      </c>
      <c r="C11" s="7" t="s">
        <v>18</v>
      </c>
      <c r="D11" s="7">
        <v>8</v>
      </c>
      <c r="E11" s="7">
        <v>2</v>
      </c>
      <c r="F11" s="9">
        <v>9</v>
      </c>
      <c r="G11" s="9">
        <v>10</v>
      </c>
      <c r="H11" s="9">
        <v>8</v>
      </c>
      <c r="I11" s="9">
        <v>9</v>
      </c>
      <c r="J11" s="9">
        <v>6</v>
      </c>
      <c r="K11" s="9">
        <v>10</v>
      </c>
      <c r="L11" s="9">
        <v>4</v>
      </c>
      <c r="M11" s="9">
        <v>6</v>
      </c>
      <c r="N11" s="9">
        <v>8</v>
      </c>
      <c r="O11" s="9">
        <v>10</v>
      </c>
      <c r="P11" s="9">
        <v>10</v>
      </c>
      <c r="Q11" s="9">
        <f>IF(COUNTA(F11:P11)=0,"",SUM(F11:P11))</f>
        <v>90</v>
      </c>
      <c r="R11" s="10">
        <f>IF(Q11="","",Q11/11)</f>
        <v>8.1818181818181817</v>
      </c>
      <c r="S11" s="7">
        <f>IF(R11="","",1+COUNTIF($R$2:$R$116,"&gt;"&amp;R11))</f>
        <v>32</v>
      </c>
      <c r="T11" s="7" t="str">
        <f>IF(Table_3e_trimestre_H[[#This Row],[Moyenne]]&gt;5,"Validé","Non Validé")</f>
        <v>Validé</v>
      </c>
    </row>
    <row r="12" spans="1:20" s="12" customFormat="1" ht="20.25">
      <c r="A12" s="18">
        <v>11</v>
      </c>
      <c r="B12" s="15" t="s">
        <v>29</v>
      </c>
      <c r="C12" s="18" t="s">
        <v>20</v>
      </c>
      <c r="D12" s="18">
        <v>8</v>
      </c>
      <c r="E12" s="18">
        <v>2</v>
      </c>
      <c r="F12" s="19">
        <v>8</v>
      </c>
      <c r="G12" s="19">
        <v>10</v>
      </c>
      <c r="H12" s="19">
        <v>8</v>
      </c>
      <c r="I12" s="19">
        <v>10</v>
      </c>
      <c r="J12" s="19">
        <v>9</v>
      </c>
      <c r="K12" s="19">
        <v>10</v>
      </c>
      <c r="L12" s="19">
        <v>6</v>
      </c>
      <c r="M12" s="19">
        <v>6</v>
      </c>
      <c r="N12" s="19">
        <v>10</v>
      </c>
      <c r="O12" s="19">
        <v>10</v>
      </c>
      <c r="P12" s="19">
        <v>8</v>
      </c>
      <c r="Q12" s="19">
        <f>IF(COUNTA(F12:P12)=0,"",SUM(F12:P12))</f>
        <v>95</v>
      </c>
      <c r="R12" s="20">
        <f>IF(Q12="","",Q12/11)</f>
        <v>8.6363636363636367</v>
      </c>
      <c r="S12" s="18">
        <f>IF(R12="","",1+COUNTIF($R$2:$R$116,"&gt;"&amp;R12))</f>
        <v>19</v>
      </c>
      <c r="T12" s="18" t="str">
        <f>IF(Table_3e_trimestre_H[[#This Row],[Moyenne]]&gt;5,"Validé","Non Validé")</f>
        <v>Validé</v>
      </c>
    </row>
    <row r="13" spans="1:20" s="12" customFormat="1" ht="20.25">
      <c r="A13" s="18">
        <v>12</v>
      </c>
      <c r="B13" s="15" t="s">
        <v>30</v>
      </c>
      <c r="C13" s="18" t="s">
        <v>20</v>
      </c>
      <c r="D13" s="18">
        <v>8</v>
      </c>
      <c r="E13" s="18">
        <v>2</v>
      </c>
      <c r="F13" s="19">
        <v>10</v>
      </c>
      <c r="G13" s="19">
        <v>10</v>
      </c>
      <c r="H13" s="19">
        <v>8</v>
      </c>
      <c r="I13" s="19">
        <v>10</v>
      </c>
      <c r="J13" s="19">
        <v>10</v>
      </c>
      <c r="K13" s="19">
        <v>9</v>
      </c>
      <c r="L13" s="19">
        <v>5</v>
      </c>
      <c r="M13" s="19">
        <v>9</v>
      </c>
      <c r="N13" s="19">
        <v>8</v>
      </c>
      <c r="O13" s="19">
        <v>10</v>
      </c>
      <c r="P13" s="19">
        <v>10</v>
      </c>
      <c r="Q13" s="19">
        <f>IF(COUNTA(F13:P13)=0,"",SUM(F13:P13))</f>
        <v>99</v>
      </c>
      <c r="R13" s="20">
        <f>IF(Q13="","",Q13/11)</f>
        <v>9</v>
      </c>
      <c r="S13" s="18">
        <f>IF(R13="","",1+COUNTIF($R$2:$R$116,"&gt;"&amp;R13))</f>
        <v>9</v>
      </c>
      <c r="T13" s="18" t="str">
        <f>IF(Table_3e_trimestre_H[[#This Row],[Moyenne]]&gt;5,"Validé","Non Validé")</f>
        <v>Validé</v>
      </c>
    </row>
    <row r="14" spans="1:20" s="12" customFormat="1" ht="20.25">
      <c r="A14" s="18">
        <v>13</v>
      </c>
      <c r="B14" s="15" t="s">
        <v>31</v>
      </c>
      <c r="C14" s="18" t="s">
        <v>20</v>
      </c>
      <c r="D14" s="18">
        <v>8</v>
      </c>
      <c r="E14" s="18">
        <v>2</v>
      </c>
      <c r="F14" s="19">
        <v>10</v>
      </c>
      <c r="G14" s="19">
        <v>10</v>
      </c>
      <c r="H14" s="19">
        <v>9</v>
      </c>
      <c r="I14" s="19">
        <v>10</v>
      </c>
      <c r="J14" s="19">
        <v>9</v>
      </c>
      <c r="K14" s="19">
        <v>6</v>
      </c>
      <c r="L14" s="19">
        <v>6</v>
      </c>
      <c r="M14" s="19">
        <v>6</v>
      </c>
      <c r="N14" s="19">
        <v>6</v>
      </c>
      <c r="O14" s="19">
        <v>10</v>
      </c>
      <c r="P14" s="19">
        <v>10</v>
      </c>
      <c r="Q14" s="19">
        <f>IF(COUNTA(F14:P14)=0,"",SUM(F14:P14))</f>
        <v>92</v>
      </c>
      <c r="R14" s="20">
        <f>IF(Q14="","",Q14/11)</f>
        <v>8.3636363636363633</v>
      </c>
      <c r="S14" s="18">
        <f>IF(R14="","",1+COUNTIF($R$2:$R$116,"&gt;"&amp;R14))</f>
        <v>24</v>
      </c>
      <c r="T14" s="18" t="str">
        <f>IF(Table_3e_trimestre_H[[#This Row],[Moyenne]]&gt;5,"Validé","Non Validé")</f>
        <v>Validé</v>
      </c>
    </row>
    <row r="15" spans="1:20" s="11" customFormat="1" ht="20.25">
      <c r="A15" s="7">
        <v>14</v>
      </c>
      <c r="B15" s="8" t="s">
        <v>133</v>
      </c>
      <c r="C15" s="7" t="s">
        <v>18</v>
      </c>
      <c r="D15" s="7">
        <v>8</v>
      </c>
      <c r="E15" s="7">
        <v>2</v>
      </c>
      <c r="F15" s="9">
        <v>7</v>
      </c>
      <c r="G15" s="9">
        <v>10</v>
      </c>
      <c r="H15" s="9">
        <v>8</v>
      </c>
      <c r="I15" s="9">
        <v>6</v>
      </c>
      <c r="J15" s="9">
        <v>4</v>
      </c>
      <c r="K15" s="9">
        <v>10</v>
      </c>
      <c r="L15" s="9">
        <v>0</v>
      </c>
      <c r="M15" s="9">
        <v>6</v>
      </c>
      <c r="N15" s="9">
        <v>3</v>
      </c>
      <c r="O15" s="9">
        <v>9</v>
      </c>
      <c r="P15" s="9">
        <v>6</v>
      </c>
      <c r="Q15" s="9">
        <f>IF(COUNTA(F15:P15)=0,"",SUM(F15:P15))</f>
        <v>69</v>
      </c>
      <c r="R15" s="10">
        <f>IF(Q15="","",Q15/11)</f>
        <v>6.2727272727272725</v>
      </c>
      <c r="S15" s="7">
        <f>IF(R15="","",1+COUNTIF($R$2:$R$116,"&gt;"&amp;R15))</f>
        <v>96</v>
      </c>
      <c r="T15" s="7" t="str">
        <f>IF(Table_3e_trimestre_H[[#This Row],[Moyenne]]&gt;5,"Validé","Non Validé")</f>
        <v>Validé</v>
      </c>
    </row>
    <row r="16" spans="1:20" s="12" customFormat="1" ht="20.25">
      <c r="A16" s="18">
        <v>15</v>
      </c>
      <c r="B16" s="15" t="s">
        <v>32</v>
      </c>
      <c r="C16" s="18" t="s">
        <v>20</v>
      </c>
      <c r="D16" s="18">
        <v>8</v>
      </c>
      <c r="E16" s="18">
        <v>2</v>
      </c>
      <c r="F16" s="19">
        <v>8</v>
      </c>
      <c r="G16" s="19">
        <v>8</v>
      </c>
      <c r="H16" s="19">
        <v>8</v>
      </c>
      <c r="I16" s="19">
        <v>6</v>
      </c>
      <c r="J16" s="19">
        <v>9</v>
      </c>
      <c r="K16" s="19">
        <v>9</v>
      </c>
      <c r="L16" s="19">
        <v>6</v>
      </c>
      <c r="M16" s="19">
        <v>7</v>
      </c>
      <c r="N16" s="19">
        <v>8</v>
      </c>
      <c r="O16" s="19">
        <v>10</v>
      </c>
      <c r="P16" s="19">
        <v>10</v>
      </c>
      <c r="Q16" s="19">
        <f>IF(COUNTA(F16:P16)=0,"",SUM(F16:P16))</f>
        <v>89</v>
      </c>
      <c r="R16" s="20">
        <f>IF(Q16="","",Q16/11)</f>
        <v>8.0909090909090917</v>
      </c>
      <c r="S16" s="18">
        <f>IF(R16="","",1+COUNTIF($R$2:$R$116,"&gt;"&amp;R16))</f>
        <v>35</v>
      </c>
      <c r="T16" s="18" t="str">
        <f>IF(Table_3e_trimestre_H[[#This Row],[Moyenne]]&gt;5,"Validé","Non Validé")</f>
        <v>Validé</v>
      </c>
    </row>
    <row r="17" spans="1:20" s="12" customFormat="1" ht="20.25">
      <c r="A17" s="18">
        <v>16</v>
      </c>
      <c r="B17" s="15" t="s">
        <v>33</v>
      </c>
      <c r="C17" s="18" t="s">
        <v>20</v>
      </c>
      <c r="D17" s="18">
        <v>8</v>
      </c>
      <c r="E17" s="18">
        <v>2</v>
      </c>
      <c r="F17" s="19">
        <v>7</v>
      </c>
      <c r="G17" s="19">
        <v>8</v>
      </c>
      <c r="H17" s="19">
        <v>8</v>
      </c>
      <c r="I17" s="19">
        <v>6</v>
      </c>
      <c r="J17" s="19">
        <v>0</v>
      </c>
      <c r="K17" s="19">
        <v>9</v>
      </c>
      <c r="L17" s="19">
        <v>0</v>
      </c>
      <c r="M17" s="19">
        <v>5</v>
      </c>
      <c r="N17" s="19">
        <v>5</v>
      </c>
      <c r="O17" s="19">
        <v>10</v>
      </c>
      <c r="P17" s="19">
        <v>2</v>
      </c>
      <c r="Q17" s="19">
        <f>IF(COUNTA(F17:P17)=0,"",SUM(F17:P17))</f>
        <v>60</v>
      </c>
      <c r="R17" s="20">
        <f>IF(Q17="","",Q17/11)</f>
        <v>5.4545454545454541</v>
      </c>
      <c r="S17" s="18">
        <f>IF(R17="","",1+COUNTIF($R$2:$R$116,"&gt;"&amp;R17))</f>
        <v>110</v>
      </c>
      <c r="T17" s="18" t="str">
        <f>IF(Table_3e_trimestre_H[[#This Row],[Moyenne]]&gt;5,"Validé","Non Validé")</f>
        <v>Validé</v>
      </c>
    </row>
    <row r="18" spans="1:20" s="12" customFormat="1" ht="20.25">
      <c r="A18" s="18">
        <v>17</v>
      </c>
      <c r="B18" s="15" t="s">
        <v>134</v>
      </c>
      <c r="C18" s="18" t="s">
        <v>20</v>
      </c>
      <c r="D18" s="18">
        <v>8</v>
      </c>
      <c r="E18" s="18">
        <v>2</v>
      </c>
      <c r="F18" s="19">
        <v>9</v>
      </c>
      <c r="G18" s="19">
        <v>6</v>
      </c>
      <c r="H18" s="19">
        <v>5</v>
      </c>
      <c r="I18" s="19">
        <v>2</v>
      </c>
      <c r="J18" s="19">
        <v>6</v>
      </c>
      <c r="K18" s="19">
        <v>10</v>
      </c>
      <c r="L18" s="19">
        <v>0</v>
      </c>
      <c r="M18" s="19">
        <v>6</v>
      </c>
      <c r="N18" s="19">
        <v>5</v>
      </c>
      <c r="O18" s="19">
        <v>10</v>
      </c>
      <c r="P18" s="19">
        <v>0</v>
      </c>
      <c r="Q18" s="19">
        <f>IF(COUNTA(F18:P18)=0,"",SUM(F18:P18))</f>
        <v>59</v>
      </c>
      <c r="R18" s="20">
        <f>IF(Q18="","",Q18/11)</f>
        <v>5.3636363636363633</v>
      </c>
      <c r="S18" s="18">
        <f>IF(R18="","",1+COUNTIF($R$2:$R$116,"&gt;"&amp;R18))</f>
        <v>112</v>
      </c>
      <c r="T18" s="18" t="str">
        <f>IF(Table_3e_trimestre_H[[#This Row],[Moyenne]]&gt;5,"Validé","Non Validé")</f>
        <v>Validé</v>
      </c>
    </row>
    <row r="19" spans="1:20" s="11" customFormat="1" ht="20.25">
      <c r="A19" s="7">
        <v>18</v>
      </c>
      <c r="B19" s="8" t="s">
        <v>34</v>
      </c>
      <c r="C19" s="7" t="s">
        <v>18</v>
      </c>
      <c r="D19" s="7">
        <v>8</v>
      </c>
      <c r="E19" s="7">
        <v>2</v>
      </c>
      <c r="F19" s="9">
        <v>6</v>
      </c>
      <c r="G19" s="9">
        <v>5</v>
      </c>
      <c r="H19" s="9">
        <v>8</v>
      </c>
      <c r="I19" s="9">
        <v>4</v>
      </c>
      <c r="J19" s="9">
        <v>8</v>
      </c>
      <c r="K19" s="9">
        <v>8</v>
      </c>
      <c r="L19" s="9">
        <v>4</v>
      </c>
      <c r="M19" s="9">
        <v>8</v>
      </c>
      <c r="N19" s="9">
        <v>2</v>
      </c>
      <c r="O19" s="9">
        <v>6</v>
      </c>
      <c r="P19" s="9">
        <v>4</v>
      </c>
      <c r="Q19" s="9">
        <f>IF(COUNTA(F19:P19)=0,"",SUM(F19:P19))</f>
        <v>63</v>
      </c>
      <c r="R19" s="10">
        <f>IF(Q19="","",Q19/11)</f>
        <v>5.7272727272727275</v>
      </c>
      <c r="S19" s="7">
        <f>IF(R19="","",1+COUNTIF($R$2:$R$116,"&gt;"&amp;R19))</f>
        <v>108</v>
      </c>
      <c r="T19" s="7" t="str">
        <f>IF(Table_3e_trimestre_H[[#This Row],[Moyenne]]&gt;5,"Validé","Non Validé")</f>
        <v>Validé</v>
      </c>
    </row>
    <row r="20" spans="1:20" s="12" customFormat="1" ht="37.5">
      <c r="A20" s="18">
        <v>19</v>
      </c>
      <c r="B20" s="15" t="s">
        <v>35</v>
      </c>
      <c r="C20" s="18" t="s">
        <v>20</v>
      </c>
      <c r="D20" s="18">
        <v>8</v>
      </c>
      <c r="E20" s="18">
        <v>2</v>
      </c>
      <c r="F20" s="19">
        <v>7</v>
      </c>
      <c r="G20" s="19">
        <v>10</v>
      </c>
      <c r="H20" s="19">
        <v>6</v>
      </c>
      <c r="I20" s="19">
        <v>2</v>
      </c>
      <c r="J20" s="19">
        <v>6</v>
      </c>
      <c r="K20" s="19">
        <v>5</v>
      </c>
      <c r="L20" s="19">
        <v>0</v>
      </c>
      <c r="M20" s="19">
        <v>8</v>
      </c>
      <c r="N20" s="19">
        <v>2</v>
      </c>
      <c r="O20" s="19">
        <v>8</v>
      </c>
      <c r="P20" s="19">
        <v>0</v>
      </c>
      <c r="Q20" s="19">
        <f>IF(COUNTA(F20:P20)=0,"",SUM(F20:P20))</f>
        <v>54</v>
      </c>
      <c r="R20" s="20">
        <f>IF(Q20="","",Q20/11)</f>
        <v>4.9090909090909092</v>
      </c>
      <c r="S20" s="18">
        <f>IF(R20="","",1+COUNTIF($R$2:$R$116,"&gt;"&amp;R20))</f>
        <v>114</v>
      </c>
      <c r="T20" s="18" t="str">
        <f>IF(Table_3e_trimestre_H[[#This Row],[Moyenne]]&gt;5,"Validé","Non Validé")</f>
        <v>Non Validé</v>
      </c>
    </row>
    <row r="21" spans="1:20" s="11" customFormat="1" ht="20.25">
      <c r="A21" s="7">
        <v>20</v>
      </c>
      <c r="B21" s="8" t="s">
        <v>36</v>
      </c>
      <c r="C21" s="7" t="s">
        <v>18</v>
      </c>
      <c r="D21" s="7">
        <v>8</v>
      </c>
      <c r="E21" s="7">
        <v>2</v>
      </c>
      <c r="F21" s="9">
        <v>9</v>
      </c>
      <c r="G21" s="9">
        <v>10</v>
      </c>
      <c r="H21" s="9">
        <v>6</v>
      </c>
      <c r="I21" s="9">
        <v>4</v>
      </c>
      <c r="J21" s="9">
        <v>6</v>
      </c>
      <c r="K21" s="9">
        <v>6</v>
      </c>
      <c r="L21" s="9">
        <v>0</v>
      </c>
      <c r="M21" s="9">
        <v>9</v>
      </c>
      <c r="N21" s="9">
        <v>3</v>
      </c>
      <c r="O21" s="9">
        <v>10</v>
      </c>
      <c r="P21" s="9">
        <v>8</v>
      </c>
      <c r="Q21" s="9">
        <f>IF(COUNTA(F21:P21)=0,"",SUM(F21:P21))</f>
        <v>71</v>
      </c>
      <c r="R21" s="10">
        <f>IF(Q21="","",Q21/11)</f>
        <v>6.4545454545454541</v>
      </c>
      <c r="S21" s="7">
        <f>IF(R21="","",1+COUNTIF($R$2:$R$116,"&gt;"&amp;R21))</f>
        <v>85</v>
      </c>
      <c r="T21" s="7" t="str">
        <f>IF(Table_3e_trimestre_H[[#This Row],[Moyenne]]&gt;5,"Validé","Non Validé")</f>
        <v>Validé</v>
      </c>
    </row>
    <row r="22" spans="1:20" s="12" customFormat="1" ht="20.25">
      <c r="A22" s="18">
        <v>21</v>
      </c>
      <c r="B22" s="15" t="s">
        <v>37</v>
      </c>
      <c r="C22" s="18" t="s">
        <v>20</v>
      </c>
      <c r="D22" s="18">
        <v>8</v>
      </c>
      <c r="E22" s="18">
        <v>2</v>
      </c>
      <c r="F22" s="19">
        <v>8</v>
      </c>
      <c r="G22" s="19">
        <v>10</v>
      </c>
      <c r="H22" s="19">
        <v>9</v>
      </c>
      <c r="I22" s="19">
        <v>4</v>
      </c>
      <c r="J22" s="19">
        <v>7</v>
      </c>
      <c r="K22" s="19">
        <v>8</v>
      </c>
      <c r="L22" s="19">
        <v>4</v>
      </c>
      <c r="M22" s="19">
        <v>7</v>
      </c>
      <c r="N22" s="19">
        <v>4</v>
      </c>
      <c r="O22" s="19">
        <v>10</v>
      </c>
      <c r="P22" s="19">
        <v>2</v>
      </c>
      <c r="Q22" s="19">
        <f>IF(COUNTA(F22:P22)=0,"",SUM(F22:P22))</f>
        <v>73</v>
      </c>
      <c r="R22" s="20">
        <f>IF(Q22="","",Q22/11)</f>
        <v>6.6363636363636367</v>
      </c>
      <c r="S22" s="18">
        <f>IF(R22="","",1+COUNTIF($R$2:$R$116,"&gt;"&amp;R22))</f>
        <v>81</v>
      </c>
      <c r="T22" s="18" t="str">
        <f>IF(Table_3e_trimestre_H[[#This Row],[Moyenne]]&gt;5,"Validé","Non Validé")</f>
        <v>Validé</v>
      </c>
    </row>
    <row r="23" spans="1:20" s="11" customFormat="1" ht="20.25">
      <c r="A23" s="7">
        <v>22</v>
      </c>
      <c r="B23" s="8" t="s">
        <v>38</v>
      </c>
      <c r="C23" s="7" t="s">
        <v>18</v>
      </c>
      <c r="D23" s="7">
        <v>8</v>
      </c>
      <c r="E23" s="7">
        <v>2</v>
      </c>
      <c r="F23" s="9">
        <v>8</v>
      </c>
      <c r="G23" s="9">
        <v>10</v>
      </c>
      <c r="H23" s="9">
        <v>7</v>
      </c>
      <c r="I23" s="9">
        <v>4</v>
      </c>
      <c r="J23" s="9">
        <v>9</v>
      </c>
      <c r="K23" s="9">
        <v>9</v>
      </c>
      <c r="L23" s="9">
        <v>0</v>
      </c>
      <c r="M23" s="9">
        <v>9</v>
      </c>
      <c r="N23" s="9">
        <v>6</v>
      </c>
      <c r="O23" s="9">
        <v>8</v>
      </c>
      <c r="P23" s="9">
        <v>0</v>
      </c>
      <c r="Q23" s="9">
        <f>IF(COUNTA(F23:P23)=0,"",SUM(F23:P23))</f>
        <v>70</v>
      </c>
      <c r="R23" s="10">
        <f>IF(Q23="","",Q23/11)</f>
        <v>6.3636363636363633</v>
      </c>
      <c r="S23" s="7">
        <f>IF(R23="","",1+COUNTIF($R$2:$R$116,"&gt;"&amp;R23))</f>
        <v>92</v>
      </c>
      <c r="T23" s="7" t="str">
        <f>IF(Table_3e_trimestre_H[[#This Row],[Moyenne]]&gt;5,"Validé","Non Validé")</f>
        <v>Validé</v>
      </c>
    </row>
    <row r="24" spans="1:20" s="11" customFormat="1" ht="20.25">
      <c r="A24" s="7">
        <v>23</v>
      </c>
      <c r="B24" s="8" t="s">
        <v>39</v>
      </c>
      <c r="C24" s="7" t="s">
        <v>18</v>
      </c>
      <c r="D24" s="7">
        <v>8</v>
      </c>
      <c r="E24" s="7">
        <v>2</v>
      </c>
      <c r="F24" s="9">
        <v>8</v>
      </c>
      <c r="G24" s="9">
        <v>10</v>
      </c>
      <c r="H24" s="9">
        <v>6</v>
      </c>
      <c r="I24" s="9">
        <v>4</v>
      </c>
      <c r="J24" s="9">
        <v>7</v>
      </c>
      <c r="K24" s="9">
        <v>8</v>
      </c>
      <c r="L24" s="9">
        <v>1</v>
      </c>
      <c r="M24" s="9">
        <v>4</v>
      </c>
      <c r="N24" s="9">
        <v>4</v>
      </c>
      <c r="O24" s="9">
        <v>4</v>
      </c>
      <c r="P24" s="9">
        <v>4</v>
      </c>
      <c r="Q24" s="9">
        <f>IF(COUNTA(F24:P24)=0,"",SUM(F24:P24))</f>
        <v>60</v>
      </c>
      <c r="R24" s="10">
        <f>IF(Q24="","",Q24/11)</f>
        <v>5.4545454545454541</v>
      </c>
      <c r="S24" s="7">
        <f>IF(R24="","",1+COUNTIF($R$2:$R$116,"&gt;"&amp;R24))</f>
        <v>110</v>
      </c>
      <c r="T24" s="7" t="str">
        <f>IF(Table_3e_trimestre_H[[#This Row],[Moyenne]]&gt;5,"Validé","Non Validé")</f>
        <v>Validé</v>
      </c>
    </row>
    <row r="25" spans="1:20" s="12" customFormat="1" ht="20.25">
      <c r="A25" s="18">
        <v>24</v>
      </c>
      <c r="B25" s="15" t="s">
        <v>40</v>
      </c>
      <c r="C25" s="18" t="s">
        <v>20</v>
      </c>
      <c r="D25" s="18">
        <v>8</v>
      </c>
      <c r="E25" s="18">
        <v>2</v>
      </c>
      <c r="F25" s="19">
        <v>10</v>
      </c>
      <c r="G25" s="19">
        <v>8</v>
      </c>
      <c r="H25" s="19">
        <v>6</v>
      </c>
      <c r="I25" s="19">
        <v>2</v>
      </c>
      <c r="J25" s="19">
        <v>4</v>
      </c>
      <c r="K25" s="19">
        <v>9</v>
      </c>
      <c r="L25" s="19">
        <v>0</v>
      </c>
      <c r="M25" s="19">
        <v>5</v>
      </c>
      <c r="N25" s="19">
        <v>3</v>
      </c>
      <c r="O25" s="19">
        <v>6</v>
      </c>
      <c r="P25" s="19">
        <v>5</v>
      </c>
      <c r="Q25" s="19">
        <f>IF(COUNTA(F25:P25)=0,"",SUM(F25:P25))</f>
        <v>58</v>
      </c>
      <c r="R25" s="20">
        <f>IF(Q25="","",Q25/11)</f>
        <v>5.2727272727272725</v>
      </c>
      <c r="S25" s="18">
        <f>IF(R25="","",1+COUNTIF($R$2:$R$116,"&gt;"&amp;R25))</f>
        <v>113</v>
      </c>
      <c r="T25" s="18" t="str">
        <f>IF(Table_3e_trimestre_H[[#This Row],[Moyenne]]&gt;5,"Validé","Non Validé")</f>
        <v>Validé</v>
      </c>
    </row>
    <row r="26" spans="1:20" s="11" customFormat="1" ht="20.25">
      <c r="A26" s="7">
        <v>25</v>
      </c>
      <c r="B26" s="8" t="s">
        <v>41</v>
      </c>
      <c r="C26" s="7" t="s">
        <v>18</v>
      </c>
      <c r="D26" s="7">
        <v>8</v>
      </c>
      <c r="E26" s="7">
        <v>2</v>
      </c>
      <c r="F26" s="9">
        <v>10</v>
      </c>
      <c r="G26" s="9">
        <v>10</v>
      </c>
      <c r="H26" s="9">
        <v>7</v>
      </c>
      <c r="I26" s="9">
        <v>4</v>
      </c>
      <c r="J26" s="9">
        <v>6</v>
      </c>
      <c r="K26" s="9">
        <v>9</v>
      </c>
      <c r="L26" s="9">
        <v>0</v>
      </c>
      <c r="M26" s="9">
        <v>7</v>
      </c>
      <c r="N26" s="9">
        <v>7</v>
      </c>
      <c r="O26" s="9">
        <v>9</v>
      </c>
      <c r="P26" s="9">
        <v>2</v>
      </c>
      <c r="Q26" s="9">
        <f>IF(COUNTA(F26:P26)=0,"",SUM(F26:P26))</f>
        <v>71</v>
      </c>
      <c r="R26" s="10">
        <f>IF(Q26="","",Q26/11)</f>
        <v>6.4545454545454541</v>
      </c>
      <c r="S26" s="7">
        <f>IF(R26="","",1+COUNTIF($R$2:$R$116,"&gt;"&amp;R26))</f>
        <v>85</v>
      </c>
      <c r="T26" s="7" t="str">
        <f>IF(Table_3e_trimestre_H[[#This Row],[Moyenne]]&gt;5,"Validé","Non Validé")</f>
        <v>Validé</v>
      </c>
    </row>
    <row r="27" spans="1:20" s="11" customFormat="1" ht="20.25">
      <c r="A27" s="7">
        <v>26</v>
      </c>
      <c r="B27" s="8" t="s">
        <v>42</v>
      </c>
      <c r="C27" s="7" t="s">
        <v>18</v>
      </c>
      <c r="D27" s="7">
        <v>8</v>
      </c>
      <c r="E27" s="7">
        <v>2</v>
      </c>
      <c r="F27" s="9">
        <v>10</v>
      </c>
      <c r="G27" s="9">
        <v>10</v>
      </c>
      <c r="H27" s="9">
        <v>7</v>
      </c>
      <c r="I27" s="9">
        <v>6</v>
      </c>
      <c r="J27" s="9">
        <v>6</v>
      </c>
      <c r="K27" s="9">
        <v>7</v>
      </c>
      <c r="L27" s="9">
        <v>2</v>
      </c>
      <c r="M27" s="9">
        <v>4</v>
      </c>
      <c r="N27" s="9">
        <v>3</v>
      </c>
      <c r="O27" s="9">
        <v>10</v>
      </c>
      <c r="P27" s="9">
        <v>0</v>
      </c>
      <c r="Q27" s="9">
        <f>IF(COUNTA(F27:P27)=0,"",SUM(F27:P27))</f>
        <v>65</v>
      </c>
      <c r="R27" s="10">
        <f>IF(Q27="","",Q27/11)</f>
        <v>5.9090909090909092</v>
      </c>
      <c r="S27" s="7">
        <f>IF(R27="","",1+COUNTIF($R$2:$R$116,"&gt;"&amp;R27))</f>
        <v>102</v>
      </c>
      <c r="T27" s="7" t="str">
        <f>IF(Table_3e_trimestre_H[[#This Row],[Moyenne]]&gt;5,"Validé","Non Validé")</f>
        <v>Validé</v>
      </c>
    </row>
    <row r="28" spans="1:20" s="12" customFormat="1" ht="20.25">
      <c r="A28" s="18">
        <v>27</v>
      </c>
      <c r="B28" s="15" t="s">
        <v>43</v>
      </c>
      <c r="C28" s="18" t="s">
        <v>20</v>
      </c>
      <c r="D28" s="18">
        <v>8</v>
      </c>
      <c r="E28" s="18">
        <v>2</v>
      </c>
      <c r="F28" s="19">
        <v>9</v>
      </c>
      <c r="G28" s="19">
        <v>10</v>
      </c>
      <c r="H28" s="19">
        <v>7</v>
      </c>
      <c r="I28" s="19">
        <v>4</v>
      </c>
      <c r="J28" s="19">
        <v>8</v>
      </c>
      <c r="K28" s="19">
        <v>9</v>
      </c>
      <c r="L28" s="19">
        <v>5</v>
      </c>
      <c r="M28" s="19">
        <v>7</v>
      </c>
      <c r="N28" s="19">
        <v>2</v>
      </c>
      <c r="O28" s="19">
        <v>10</v>
      </c>
      <c r="P28" s="19">
        <v>5</v>
      </c>
      <c r="Q28" s="19">
        <f>IF(COUNTA(F28:P28)=0,"",SUM(F28:P28))</f>
        <v>76</v>
      </c>
      <c r="R28" s="20">
        <f>IF(Q28="","",Q28/11)</f>
        <v>6.9090909090909092</v>
      </c>
      <c r="S28" s="18">
        <f>IF(R28="","",1+COUNTIF($R$2:$R$116,"&gt;"&amp;R28))</f>
        <v>73</v>
      </c>
      <c r="T28" s="18" t="str">
        <f>IF(Table_3e_trimestre_H[[#This Row],[Moyenne]]&gt;5,"Validé","Non Validé")</f>
        <v>Validé</v>
      </c>
    </row>
    <row r="29" spans="1:20" s="12" customFormat="1" ht="20.25">
      <c r="A29" s="18">
        <v>28</v>
      </c>
      <c r="B29" s="15" t="s">
        <v>44</v>
      </c>
      <c r="C29" s="18" t="s">
        <v>20</v>
      </c>
      <c r="D29" s="18">
        <v>8</v>
      </c>
      <c r="E29" s="18">
        <v>2</v>
      </c>
      <c r="F29" s="19">
        <v>10</v>
      </c>
      <c r="G29" s="19">
        <v>10</v>
      </c>
      <c r="H29" s="19">
        <v>8</v>
      </c>
      <c r="I29" s="19">
        <v>9</v>
      </c>
      <c r="J29" s="19">
        <v>6</v>
      </c>
      <c r="K29" s="19">
        <v>9</v>
      </c>
      <c r="L29" s="19">
        <v>0</v>
      </c>
      <c r="M29" s="19">
        <v>7</v>
      </c>
      <c r="N29" s="19">
        <v>3</v>
      </c>
      <c r="O29" s="19">
        <v>10</v>
      </c>
      <c r="P29" s="19">
        <v>6</v>
      </c>
      <c r="Q29" s="19">
        <f>IF(COUNTA(F29:P29)=0,"",SUM(F29:P29))</f>
        <v>78</v>
      </c>
      <c r="R29" s="20">
        <f>IF(Q29="","",Q29/11)</f>
        <v>7.0909090909090908</v>
      </c>
      <c r="S29" s="18">
        <f>IF(R29="","",1+COUNTIF($R$2:$R$116,"&gt;"&amp;R29))</f>
        <v>64</v>
      </c>
      <c r="T29" s="18" t="str">
        <f>IF(Table_3e_trimestre_H[[#This Row],[Moyenne]]&gt;5,"Validé","Non Validé")</f>
        <v>Validé</v>
      </c>
    </row>
    <row r="30" spans="1:20" s="11" customFormat="1" ht="20.25">
      <c r="A30" s="7">
        <v>29</v>
      </c>
      <c r="B30" s="8" t="s">
        <v>45</v>
      </c>
      <c r="C30" s="7" t="s">
        <v>18</v>
      </c>
      <c r="D30" s="7">
        <v>8</v>
      </c>
      <c r="E30" s="7">
        <v>2</v>
      </c>
      <c r="F30" s="9">
        <v>9</v>
      </c>
      <c r="G30" s="9">
        <v>8</v>
      </c>
      <c r="H30" s="9">
        <v>8</v>
      </c>
      <c r="I30" s="9">
        <v>5</v>
      </c>
      <c r="J30" s="9">
        <v>5</v>
      </c>
      <c r="K30" s="9">
        <v>10</v>
      </c>
      <c r="L30" s="9">
        <v>1</v>
      </c>
      <c r="M30" s="9">
        <v>6</v>
      </c>
      <c r="N30" s="9">
        <v>4</v>
      </c>
      <c r="O30" s="9">
        <v>4</v>
      </c>
      <c r="P30" s="9">
        <v>10</v>
      </c>
      <c r="Q30" s="9">
        <f>IF(COUNTA(F30:P30)=0,"",SUM(F30:P30))</f>
        <v>70</v>
      </c>
      <c r="R30" s="10">
        <f>IF(Q30="","",Q30/11)</f>
        <v>6.3636363636363633</v>
      </c>
      <c r="S30" s="7">
        <f>IF(R30="","",1+COUNTIF($R$2:$R$116,"&gt;"&amp;R30))</f>
        <v>92</v>
      </c>
      <c r="T30" s="7" t="str">
        <f>IF(Table_3e_trimestre_H[[#This Row],[Moyenne]]&gt;5,"Validé","Non Validé")</f>
        <v>Validé</v>
      </c>
    </row>
    <row r="31" spans="1:20" s="12" customFormat="1" ht="20.25">
      <c r="A31" s="18">
        <v>30</v>
      </c>
      <c r="B31" s="15" t="s">
        <v>46</v>
      </c>
      <c r="C31" s="18" t="s">
        <v>20</v>
      </c>
      <c r="D31" s="18">
        <v>8</v>
      </c>
      <c r="E31" s="18">
        <v>2</v>
      </c>
      <c r="F31" s="19">
        <v>10</v>
      </c>
      <c r="G31" s="19">
        <v>10</v>
      </c>
      <c r="H31" s="19">
        <v>8</v>
      </c>
      <c r="I31" s="19">
        <v>7</v>
      </c>
      <c r="J31" s="19">
        <v>7</v>
      </c>
      <c r="K31" s="19">
        <v>10</v>
      </c>
      <c r="L31" s="19">
        <v>4</v>
      </c>
      <c r="M31" s="19">
        <v>6</v>
      </c>
      <c r="N31" s="19">
        <v>6</v>
      </c>
      <c r="O31" s="19">
        <v>8</v>
      </c>
      <c r="P31" s="19">
        <v>10</v>
      </c>
      <c r="Q31" s="19">
        <f>IF(COUNTA(F31:P31)=0,"",SUM(F31:P31))</f>
        <v>86</v>
      </c>
      <c r="R31" s="20">
        <f>IF(Q31="","",Q31/11)</f>
        <v>7.8181818181818183</v>
      </c>
      <c r="S31" s="18">
        <f>IF(R31="","",1+COUNTIF($R$2:$R$116,"&gt;"&amp;R31))</f>
        <v>39</v>
      </c>
      <c r="T31" s="18" t="str">
        <f>IF(Table_3e_trimestre_H[[#This Row],[Moyenne]]&gt;5,"Validé","Non Validé")</f>
        <v>Validé</v>
      </c>
    </row>
    <row r="32" spans="1:20" s="11" customFormat="1" ht="20.25">
      <c r="A32" s="7">
        <v>31</v>
      </c>
      <c r="B32" s="8" t="s">
        <v>113</v>
      </c>
      <c r="C32" s="7" t="s">
        <v>18</v>
      </c>
      <c r="D32" s="7">
        <v>8</v>
      </c>
      <c r="E32" s="7">
        <v>2</v>
      </c>
      <c r="F32" s="9">
        <v>8</v>
      </c>
      <c r="G32" s="9">
        <v>10</v>
      </c>
      <c r="H32" s="9">
        <v>9</v>
      </c>
      <c r="I32" s="9">
        <v>6</v>
      </c>
      <c r="J32" s="9">
        <v>6</v>
      </c>
      <c r="K32" s="9">
        <v>10</v>
      </c>
      <c r="L32" s="9">
        <v>4</v>
      </c>
      <c r="M32" s="9">
        <v>6</v>
      </c>
      <c r="N32" s="9">
        <v>4</v>
      </c>
      <c r="O32" s="9">
        <v>8</v>
      </c>
      <c r="P32" s="9">
        <v>10</v>
      </c>
      <c r="Q32" s="9">
        <f>IF(COUNTA(F32:P32)=0,"",SUM(F32:P32))</f>
        <v>81</v>
      </c>
      <c r="R32" s="10">
        <f>IF(Q32="","",Q32/11)</f>
        <v>7.3636363636363633</v>
      </c>
      <c r="S32" s="7">
        <f>IF(R32="","",1+COUNTIF($R$2:$R$116,"&gt;"&amp;R32))</f>
        <v>53</v>
      </c>
      <c r="T32" s="7" t="str">
        <f>IF(Table_3e_trimestre_H[[#This Row],[Moyenne]]&gt;5,"Validé","Non Validé")</f>
        <v>Validé</v>
      </c>
    </row>
    <row r="33" spans="1:20" s="12" customFormat="1" ht="20.25">
      <c r="A33" s="18">
        <v>32</v>
      </c>
      <c r="B33" s="15" t="s">
        <v>47</v>
      </c>
      <c r="C33" s="18" t="s">
        <v>20</v>
      </c>
      <c r="D33" s="18">
        <v>8</v>
      </c>
      <c r="E33" s="18">
        <v>2</v>
      </c>
      <c r="F33" s="19">
        <v>5</v>
      </c>
      <c r="G33" s="19">
        <v>10</v>
      </c>
      <c r="H33" s="19">
        <v>8</v>
      </c>
      <c r="I33" s="19">
        <v>7</v>
      </c>
      <c r="J33" s="19">
        <v>5</v>
      </c>
      <c r="K33" s="19">
        <v>6</v>
      </c>
      <c r="L33" s="19">
        <v>0</v>
      </c>
      <c r="M33" s="19">
        <v>7</v>
      </c>
      <c r="N33" s="19">
        <v>4</v>
      </c>
      <c r="O33" s="19">
        <v>8</v>
      </c>
      <c r="P33" s="19">
        <v>10</v>
      </c>
      <c r="Q33" s="19">
        <f>IF(COUNTA(F33:P33)=0,"",SUM(F33:P33))</f>
        <v>70</v>
      </c>
      <c r="R33" s="20">
        <f>IF(Q33="","",Q33/11)</f>
        <v>6.3636363636363633</v>
      </c>
      <c r="S33" s="18">
        <f>IF(R33="","",1+COUNTIF($R$2:$R$116,"&gt;"&amp;R33))</f>
        <v>92</v>
      </c>
      <c r="T33" s="18" t="str">
        <f>IF(Table_3e_trimestre_H[[#This Row],[Moyenne]]&gt;5,"Validé","Non Validé")</f>
        <v>Validé</v>
      </c>
    </row>
    <row r="34" spans="1:20" s="11" customFormat="1" ht="20.25">
      <c r="A34" s="7">
        <v>33</v>
      </c>
      <c r="B34" s="8" t="s">
        <v>114</v>
      </c>
      <c r="C34" s="7" t="s">
        <v>18</v>
      </c>
      <c r="D34" s="7">
        <v>8</v>
      </c>
      <c r="E34" s="7">
        <v>2</v>
      </c>
      <c r="F34" s="9">
        <v>7</v>
      </c>
      <c r="G34" s="9">
        <v>4</v>
      </c>
      <c r="H34" s="9">
        <v>8</v>
      </c>
      <c r="I34" s="9">
        <v>5</v>
      </c>
      <c r="J34" s="9">
        <v>6</v>
      </c>
      <c r="K34" s="9">
        <v>10</v>
      </c>
      <c r="L34" s="9">
        <v>0</v>
      </c>
      <c r="M34" s="9">
        <v>6</v>
      </c>
      <c r="N34" s="9">
        <v>7</v>
      </c>
      <c r="O34" s="9">
        <v>8</v>
      </c>
      <c r="P34" s="9">
        <v>10</v>
      </c>
      <c r="Q34" s="9">
        <f>IF(COUNTA(F34:P34)=0,"",SUM(F34:P34))</f>
        <v>71</v>
      </c>
      <c r="R34" s="10">
        <f>IF(Q34="","",Q34/11)</f>
        <v>6.4545454545454541</v>
      </c>
      <c r="S34" s="7">
        <f>IF(R34="","",1+COUNTIF($R$2:$R$116,"&gt;"&amp;R34))</f>
        <v>85</v>
      </c>
      <c r="T34" s="7" t="str">
        <f>IF(Table_3e_trimestre_H[[#This Row],[Moyenne]]&gt;5,"Validé","Non Validé")</f>
        <v>Validé</v>
      </c>
    </row>
    <row r="35" spans="1:20" s="12" customFormat="1" ht="20.25">
      <c r="A35" s="18">
        <v>34</v>
      </c>
      <c r="B35" s="15" t="s">
        <v>48</v>
      </c>
      <c r="C35" s="18" t="s">
        <v>20</v>
      </c>
      <c r="D35" s="18">
        <v>8</v>
      </c>
      <c r="E35" s="18">
        <v>2</v>
      </c>
      <c r="F35" s="19">
        <v>7</v>
      </c>
      <c r="G35" s="19">
        <v>10</v>
      </c>
      <c r="H35" s="19">
        <v>7</v>
      </c>
      <c r="I35" s="19">
        <v>7</v>
      </c>
      <c r="J35" s="19">
        <v>8</v>
      </c>
      <c r="K35" s="19">
        <v>9</v>
      </c>
      <c r="L35" s="19">
        <v>1</v>
      </c>
      <c r="M35" s="19">
        <v>5</v>
      </c>
      <c r="N35" s="19">
        <v>4</v>
      </c>
      <c r="O35" s="19">
        <v>10</v>
      </c>
      <c r="P35" s="19">
        <v>8</v>
      </c>
      <c r="Q35" s="19">
        <f>IF(COUNTA(F35:P35)=0,"",SUM(F35:P35))</f>
        <v>76</v>
      </c>
      <c r="R35" s="20">
        <f>IF(Q35="","",Q35/11)</f>
        <v>6.9090909090909092</v>
      </c>
      <c r="S35" s="18">
        <f>IF(R35="","",1+COUNTIF($R$2:$R$116,"&gt;"&amp;R35))</f>
        <v>73</v>
      </c>
      <c r="T35" s="18" t="str">
        <f>IF(Table_3e_trimestre_H[[#This Row],[Moyenne]]&gt;5,"Validé","Non Validé")</f>
        <v>Validé</v>
      </c>
    </row>
    <row r="36" spans="1:20" s="12" customFormat="1" ht="20.25">
      <c r="A36" s="18">
        <v>35</v>
      </c>
      <c r="B36" s="15" t="s">
        <v>49</v>
      </c>
      <c r="C36" s="18" t="s">
        <v>20</v>
      </c>
      <c r="D36" s="18">
        <v>8</v>
      </c>
      <c r="E36" s="18">
        <v>2</v>
      </c>
      <c r="F36" s="19">
        <v>10</v>
      </c>
      <c r="G36" s="19">
        <v>10</v>
      </c>
      <c r="H36" s="19">
        <v>8</v>
      </c>
      <c r="I36" s="19">
        <v>4</v>
      </c>
      <c r="J36" s="19">
        <v>7</v>
      </c>
      <c r="K36" s="19">
        <v>6</v>
      </c>
      <c r="L36" s="19">
        <v>2</v>
      </c>
      <c r="M36" s="19">
        <v>4</v>
      </c>
      <c r="N36" s="19">
        <v>1</v>
      </c>
      <c r="O36" s="19">
        <v>8</v>
      </c>
      <c r="P36" s="19">
        <v>8</v>
      </c>
      <c r="Q36" s="19">
        <f>IF(COUNTA(F36:P36)=0,"",SUM(F36:P36))</f>
        <v>68</v>
      </c>
      <c r="R36" s="20">
        <f>IF(Q36="","",Q36/11)</f>
        <v>6.1818181818181817</v>
      </c>
      <c r="S36" s="18">
        <f>IF(R36="","",1+COUNTIF($R$2:$R$116,"&gt;"&amp;R36))</f>
        <v>97</v>
      </c>
      <c r="T36" s="18" t="str">
        <f>IF(Table_3e_trimestre_H[[#This Row],[Moyenne]]&gt;5,"Validé","Non Validé")</f>
        <v>Validé</v>
      </c>
    </row>
    <row r="37" spans="1:20" s="12" customFormat="1" ht="20.25">
      <c r="A37" s="18">
        <v>36</v>
      </c>
      <c r="B37" s="15" t="s">
        <v>115</v>
      </c>
      <c r="C37" s="18" t="s">
        <v>20</v>
      </c>
      <c r="D37" s="18">
        <v>8</v>
      </c>
      <c r="E37" s="18">
        <v>2</v>
      </c>
      <c r="F37" s="19">
        <v>5</v>
      </c>
      <c r="G37" s="19">
        <v>10</v>
      </c>
      <c r="H37" s="19">
        <v>8</v>
      </c>
      <c r="I37" s="19">
        <v>4</v>
      </c>
      <c r="J37" s="19">
        <v>8</v>
      </c>
      <c r="K37" s="19">
        <v>8</v>
      </c>
      <c r="L37" s="19">
        <v>0</v>
      </c>
      <c r="M37" s="19">
        <v>6</v>
      </c>
      <c r="N37" s="19">
        <v>7</v>
      </c>
      <c r="O37" s="19">
        <v>10</v>
      </c>
      <c r="P37" s="19">
        <v>10</v>
      </c>
      <c r="Q37" s="19">
        <f>IF(COUNTA(F37:P37)=0,"",SUM(F37:P37))</f>
        <v>76</v>
      </c>
      <c r="R37" s="20">
        <f>IF(Q37="","",Q37/11)</f>
        <v>6.9090909090909092</v>
      </c>
      <c r="S37" s="18">
        <f>IF(R37="","",1+COUNTIF($R$2:$R$116,"&gt;"&amp;R37))</f>
        <v>73</v>
      </c>
      <c r="T37" s="18" t="str">
        <f>IF(Table_3e_trimestre_H[[#This Row],[Moyenne]]&gt;5,"Validé","Non Validé")</f>
        <v>Validé</v>
      </c>
    </row>
    <row r="38" spans="1:20" s="12" customFormat="1" ht="37.5">
      <c r="A38" s="18">
        <v>37</v>
      </c>
      <c r="B38" s="15" t="s">
        <v>116</v>
      </c>
      <c r="C38" s="18" t="s">
        <v>20</v>
      </c>
      <c r="D38" s="18">
        <v>8</v>
      </c>
      <c r="E38" s="18">
        <v>2</v>
      </c>
      <c r="F38" s="19">
        <v>4</v>
      </c>
      <c r="G38" s="19">
        <v>8</v>
      </c>
      <c r="H38" s="19">
        <v>0</v>
      </c>
      <c r="I38" s="19">
        <v>5</v>
      </c>
      <c r="J38" s="19">
        <v>4</v>
      </c>
      <c r="K38" s="19">
        <v>8</v>
      </c>
      <c r="L38" s="19">
        <v>0</v>
      </c>
      <c r="M38" s="19">
        <v>4</v>
      </c>
      <c r="N38" s="19">
        <v>1</v>
      </c>
      <c r="O38" s="19">
        <v>4</v>
      </c>
      <c r="P38" s="19">
        <v>8</v>
      </c>
      <c r="Q38" s="19">
        <f>IF(COUNTA(F38:P38)=0,"",SUM(F38:P38))</f>
        <v>46</v>
      </c>
      <c r="R38" s="20">
        <f>IF(Q38="","",Q38/11)</f>
        <v>4.1818181818181817</v>
      </c>
      <c r="S38" s="18">
        <f>IF(R38="","",1+COUNTIF($R$2:$R$116,"&gt;"&amp;R38))</f>
        <v>115</v>
      </c>
      <c r="T38" s="18" t="str">
        <f>IF(Table_3e_trimestre_H[[#This Row],[Moyenne]]&gt;5,"Validé","Non Validé")</f>
        <v>Non Validé</v>
      </c>
    </row>
    <row r="39" spans="1:20" s="11" customFormat="1" ht="20.25">
      <c r="A39" s="7">
        <v>38</v>
      </c>
      <c r="B39" s="8" t="s">
        <v>50</v>
      </c>
      <c r="C39" s="7" t="s">
        <v>18</v>
      </c>
      <c r="D39" s="7">
        <v>8</v>
      </c>
      <c r="E39" s="7">
        <v>2</v>
      </c>
      <c r="F39" s="9">
        <v>6</v>
      </c>
      <c r="G39" s="9">
        <v>8</v>
      </c>
      <c r="H39" s="9">
        <v>8</v>
      </c>
      <c r="I39" s="9">
        <v>6</v>
      </c>
      <c r="J39" s="9">
        <v>7</v>
      </c>
      <c r="K39" s="9">
        <v>9</v>
      </c>
      <c r="L39" s="9">
        <v>0</v>
      </c>
      <c r="M39" s="9">
        <v>6</v>
      </c>
      <c r="N39" s="9">
        <v>4</v>
      </c>
      <c r="O39" s="9">
        <v>8</v>
      </c>
      <c r="P39" s="9">
        <v>10</v>
      </c>
      <c r="Q39" s="9">
        <f>IF(COUNTA(F39:P39)=0,"",SUM(F39:P39))</f>
        <v>72</v>
      </c>
      <c r="R39" s="10">
        <f>IF(Q39="","",Q39/11)</f>
        <v>6.5454545454545459</v>
      </c>
      <c r="S39" s="7">
        <f>IF(R39="","",1+COUNTIF($R$2:$R$116,"&gt;"&amp;R39))</f>
        <v>83</v>
      </c>
      <c r="T39" s="7" t="str">
        <f>IF(Table_3e_trimestre_H[[#This Row],[Moyenne]]&gt;5,"Validé","Non Validé")</f>
        <v>Validé</v>
      </c>
    </row>
    <row r="40" spans="1:20" s="11" customFormat="1" ht="20.25">
      <c r="A40" s="7">
        <v>39</v>
      </c>
      <c r="B40" s="8" t="s">
        <v>51</v>
      </c>
      <c r="C40" s="7" t="s">
        <v>18</v>
      </c>
      <c r="D40" s="7">
        <v>8</v>
      </c>
      <c r="E40" s="7">
        <v>2</v>
      </c>
      <c r="F40" s="9">
        <v>6</v>
      </c>
      <c r="G40" s="9">
        <v>8</v>
      </c>
      <c r="H40" s="9">
        <v>9</v>
      </c>
      <c r="I40" s="9">
        <v>8</v>
      </c>
      <c r="J40" s="9">
        <v>7</v>
      </c>
      <c r="K40" s="9">
        <v>10</v>
      </c>
      <c r="L40" s="9">
        <v>2</v>
      </c>
      <c r="M40" s="9">
        <v>6</v>
      </c>
      <c r="N40" s="9">
        <v>2</v>
      </c>
      <c r="O40" s="9">
        <v>10</v>
      </c>
      <c r="P40" s="9">
        <v>10</v>
      </c>
      <c r="Q40" s="9">
        <f>IF(COUNTA(F40:P40)=0,"",SUM(F40:P40))</f>
        <v>78</v>
      </c>
      <c r="R40" s="10">
        <f>IF(Q40="","",Q40/11)</f>
        <v>7.0909090909090908</v>
      </c>
      <c r="S40" s="7">
        <f>IF(R40="","",1+COUNTIF($R$2:$R$116,"&gt;"&amp;R40))</f>
        <v>64</v>
      </c>
      <c r="T40" s="7" t="str">
        <f>IF(Table_3e_trimestre_H[[#This Row],[Moyenne]]&gt;5,"Validé","Non Validé")</f>
        <v>Validé</v>
      </c>
    </row>
    <row r="41" spans="1:20" s="11" customFormat="1" ht="20.25">
      <c r="A41" s="7">
        <v>40</v>
      </c>
      <c r="B41" s="8" t="s">
        <v>117</v>
      </c>
      <c r="C41" s="7" t="s">
        <v>18</v>
      </c>
      <c r="D41" s="7">
        <v>8</v>
      </c>
      <c r="E41" s="7">
        <v>2</v>
      </c>
      <c r="F41" s="9">
        <v>7</v>
      </c>
      <c r="G41" s="9">
        <v>10</v>
      </c>
      <c r="H41" s="9">
        <v>0</v>
      </c>
      <c r="I41" s="9">
        <v>4</v>
      </c>
      <c r="J41" s="9">
        <v>6</v>
      </c>
      <c r="K41" s="9">
        <v>10</v>
      </c>
      <c r="L41" s="9">
        <v>2</v>
      </c>
      <c r="M41" s="9">
        <v>7</v>
      </c>
      <c r="N41" s="9">
        <v>2</v>
      </c>
      <c r="O41" s="9">
        <v>6</v>
      </c>
      <c r="P41" s="9">
        <v>10</v>
      </c>
      <c r="Q41" s="9">
        <f>IF(COUNTA(F41:P41)=0,"",SUM(F41:P41))</f>
        <v>64</v>
      </c>
      <c r="R41" s="10">
        <f>IF(Q41="","",Q41/11)</f>
        <v>5.8181818181818183</v>
      </c>
      <c r="S41" s="7">
        <f>IF(R41="","",1+COUNTIF($R$2:$R$116,"&gt;"&amp;R41))</f>
        <v>104</v>
      </c>
      <c r="T41" s="7" t="str">
        <f>IF(Table_3e_trimestre_H[[#This Row],[Moyenne]]&gt;5,"Validé","Non Validé")</f>
        <v>Validé</v>
      </c>
    </row>
    <row r="42" spans="1:20" s="12" customFormat="1" ht="20.25">
      <c r="A42" s="18">
        <v>42</v>
      </c>
      <c r="B42" s="15" t="s">
        <v>53</v>
      </c>
      <c r="C42" s="18" t="s">
        <v>20</v>
      </c>
      <c r="D42" s="18">
        <v>8</v>
      </c>
      <c r="E42" s="18">
        <v>2</v>
      </c>
      <c r="F42" s="19">
        <v>10</v>
      </c>
      <c r="G42" s="19">
        <v>10</v>
      </c>
      <c r="H42" s="19">
        <v>9</v>
      </c>
      <c r="I42" s="19">
        <v>10</v>
      </c>
      <c r="J42" s="19">
        <v>10</v>
      </c>
      <c r="K42" s="19">
        <v>10</v>
      </c>
      <c r="L42" s="19">
        <v>8</v>
      </c>
      <c r="M42" s="19">
        <v>9</v>
      </c>
      <c r="N42" s="19">
        <v>10</v>
      </c>
      <c r="O42" s="19">
        <v>10</v>
      </c>
      <c r="P42" s="19">
        <v>10</v>
      </c>
      <c r="Q42" s="19">
        <f>IF(COUNTA(F42:P42)=0,"",SUM(F42:P42))</f>
        <v>106</v>
      </c>
      <c r="R42" s="20">
        <f>IF(Q42="","",Q42/11)</f>
        <v>9.6363636363636367</v>
      </c>
      <c r="S42" s="18">
        <f>IF(R42="","",1+COUNTIF($R$2:$R$116,"&gt;"&amp;R42))</f>
        <v>2</v>
      </c>
      <c r="T42" s="18" t="str">
        <f>IF(Table_3e_trimestre_H[[#This Row],[Moyenne]]&gt;5,"Validé","Non Validé")</f>
        <v>Validé</v>
      </c>
    </row>
    <row r="43" spans="1:20" s="12" customFormat="1" ht="20.25">
      <c r="A43" s="18">
        <v>41</v>
      </c>
      <c r="B43" s="15" t="s">
        <v>52</v>
      </c>
      <c r="C43" s="18" t="s">
        <v>20</v>
      </c>
      <c r="D43" s="18">
        <v>8</v>
      </c>
      <c r="E43" s="18">
        <v>2</v>
      </c>
      <c r="F43" s="19">
        <v>10</v>
      </c>
      <c r="G43" s="19">
        <v>10</v>
      </c>
      <c r="H43" s="19">
        <v>8</v>
      </c>
      <c r="I43" s="19">
        <v>10</v>
      </c>
      <c r="J43" s="19">
        <v>8</v>
      </c>
      <c r="K43" s="19">
        <v>8</v>
      </c>
      <c r="L43" s="19">
        <v>8</v>
      </c>
      <c r="M43" s="19">
        <v>7</v>
      </c>
      <c r="N43" s="19">
        <v>8</v>
      </c>
      <c r="O43" s="19">
        <v>10</v>
      </c>
      <c r="P43" s="19">
        <v>10</v>
      </c>
      <c r="Q43" s="19">
        <f>IF(COUNTA(F43:P43)=0,"",SUM(F43:P43))</f>
        <v>97</v>
      </c>
      <c r="R43" s="20">
        <f>IF(Q43="","",Q43/11)</f>
        <v>8.8181818181818183</v>
      </c>
      <c r="S43" s="18">
        <f>IF(R43="","",1+COUNTIF($R$2:$R$116,"&gt;"&amp;R43))</f>
        <v>14</v>
      </c>
      <c r="T43" s="18" t="str">
        <f>IF(Table_3e_trimestre_H[[#This Row],[Moyenne]]&gt;5,"Validé","Non Validé")</f>
        <v>Validé</v>
      </c>
    </row>
    <row r="44" spans="1:20" s="12" customFormat="1" ht="20.25">
      <c r="A44" s="18">
        <v>43</v>
      </c>
      <c r="B44" s="15" t="s">
        <v>54</v>
      </c>
      <c r="C44" s="18" t="s">
        <v>20</v>
      </c>
      <c r="D44" s="18">
        <v>8</v>
      </c>
      <c r="E44" s="18">
        <v>2</v>
      </c>
      <c r="F44" s="19">
        <v>10</v>
      </c>
      <c r="G44" s="19">
        <v>10</v>
      </c>
      <c r="H44" s="19">
        <v>7</v>
      </c>
      <c r="I44" s="19">
        <v>8</v>
      </c>
      <c r="J44" s="19">
        <v>10</v>
      </c>
      <c r="K44" s="19">
        <v>10</v>
      </c>
      <c r="L44" s="19">
        <v>6</v>
      </c>
      <c r="M44" s="19">
        <v>7</v>
      </c>
      <c r="N44" s="19">
        <v>10</v>
      </c>
      <c r="O44" s="19">
        <v>10</v>
      </c>
      <c r="P44" s="19">
        <v>10</v>
      </c>
      <c r="Q44" s="19">
        <f>IF(COUNTA(F44:P44)=0,"",SUM(F44:P44))</f>
        <v>98</v>
      </c>
      <c r="R44" s="20">
        <f>IF(Q44="","",Q44/11)</f>
        <v>8.9090909090909083</v>
      </c>
      <c r="S44" s="18">
        <f>IF(R44="","",1+COUNTIF($R$2:$R$116,"&gt;"&amp;R44))</f>
        <v>12</v>
      </c>
      <c r="T44" s="18" t="str">
        <f>IF(Table_3e_trimestre_H[[#This Row],[Moyenne]]&gt;5,"Validé","Non Validé")</f>
        <v>Validé</v>
      </c>
    </row>
    <row r="45" spans="1:20" s="12" customFormat="1" ht="20.25">
      <c r="A45" s="18">
        <v>44</v>
      </c>
      <c r="B45" s="15" t="s">
        <v>55</v>
      </c>
      <c r="C45" s="18" t="s">
        <v>20</v>
      </c>
      <c r="D45" s="18">
        <v>8</v>
      </c>
      <c r="E45" s="18">
        <v>2</v>
      </c>
      <c r="F45" s="19">
        <v>7</v>
      </c>
      <c r="G45" s="19">
        <v>10</v>
      </c>
      <c r="H45" s="19">
        <v>8</v>
      </c>
      <c r="I45" s="19">
        <v>9</v>
      </c>
      <c r="J45" s="19">
        <v>8</v>
      </c>
      <c r="K45" s="19">
        <v>7</v>
      </c>
      <c r="L45" s="19">
        <v>5</v>
      </c>
      <c r="M45" s="19">
        <v>4</v>
      </c>
      <c r="N45" s="19">
        <v>7</v>
      </c>
      <c r="O45" s="19">
        <v>10</v>
      </c>
      <c r="P45" s="19">
        <v>8</v>
      </c>
      <c r="Q45" s="19">
        <f>IF(COUNTA(F45:P45)=0,"",SUM(F45:P45))</f>
        <v>83</v>
      </c>
      <c r="R45" s="20">
        <f>IF(Q45="","",Q45/11)</f>
        <v>7.5454545454545459</v>
      </c>
      <c r="S45" s="18">
        <f>IF(R45="","",1+COUNTIF($R$2:$R$116,"&gt;"&amp;R45))</f>
        <v>48</v>
      </c>
      <c r="T45" s="18" t="str">
        <f>IF(Table_3e_trimestre_H[[#This Row],[Moyenne]]&gt;5,"Validé","Non Validé")</f>
        <v>Validé</v>
      </c>
    </row>
    <row r="46" spans="1:20" s="12" customFormat="1" ht="20.25">
      <c r="A46" s="18">
        <v>45</v>
      </c>
      <c r="B46" s="15" t="s">
        <v>56</v>
      </c>
      <c r="C46" s="18" t="s">
        <v>20</v>
      </c>
      <c r="D46" s="18">
        <v>9</v>
      </c>
      <c r="E46" s="18">
        <v>2</v>
      </c>
      <c r="F46" s="19">
        <v>10</v>
      </c>
      <c r="G46" s="19">
        <v>10</v>
      </c>
      <c r="H46" s="19">
        <v>9</v>
      </c>
      <c r="I46" s="19">
        <v>9</v>
      </c>
      <c r="J46" s="19">
        <v>10</v>
      </c>
      <c r="K46" s="19">
        <v>10</v>
      </c>
      <c r="L46" s="19">
        <v>9</v>
      </c>
      <c r="M46" s="19">
        <v>9</v>
      </c>
      <c r="N46" s="19">
        <v>9</v>
      </c>
      <c r="O46" s="19">
        <v>10</v>
      </c>
      <c r="P46" s="19">
        <v>10</v>
      </c>
      <c r="Q46" s="19">
        <f>IF(COUNTA(F46:P46)=0,"",SUM(F46:P46))</f>
        <v>105</v>
      </c>
      <c r="R46" s="20">
        <f>IF(Q46="","",Q46/11)</f>
        <v>9.545454545454545</v>
      </c>
      <c r="S46" s="18">
        <f>IF(R46="","",1+COUNTIF($R$2:$R$116,"&gt;"&amp;R46))</f>
        <v>3</v>
      </c>
      <c r="T46" s="18" t="str">
        <f>IF(Table_3e_trimestre_H[[#This Row],[Moyenne]]&gt;5,"Validé","Non Validé")</f>
        <v>Validé</v>
      </c>
    </row>
    <row r="47" spans="1:20" s="12" customFormat="1" ht="20.25">
      <c r="A47" s="18">
        <v>46</v>
      </c>
      <c r="B47" s="15" t="s">
        <v>118</v>
      </c>
      <c r="C47" s="18" t="s">
        <v>20</v>
      </c>
      <c r="D47" s="18">
        <v>7</v>
      </c>
      <c r="E47" s="18">
        <v>2</v>
      </c>
      <c r="F47" s="19">
        <v>9</v>
      </c>
      <c r="G47" s="19">
        <v>10</v>
      </c>
      <c r="H47" s="19">
        <v>9</v>
      </c>
      <c r="I47" s="19">
        <v>4</v>
      </c>
      <c r="J47" s="19">
        <v>6</v>
      </c>
      <c r="K47" s="19">
        <v>9</v>
      </c>
      <c r="L47" s="19">
        <v>1</v>
      </c>
      <c r="M47" s="19">
        <v>6</v>
      </c>
      <c r="N47" s="19">
        <v>2</v>
      </c>
      <c r="O47" s="19">
        <v>10</v>
      </c>
      <c r="P47" s="19">
        <v>10</v>
      </c>
      <c r="Q47" s="19">
        <f>IF(COUNTA(F47:P47)=0,"",SUM(F47:P47))</f>
        <v>76</v>
      </c>
      <c r="R47" s="20">
        <f>IF(Q47="","",Q47/11)</f>
        <v>6.9090909090909092</v>
      </c>
      <c r="S47" s="18">
        <f>IF(R47="","",1+COUNTIF($R$2:$R$116,"&gt;"&amp;R47))</f>
        <v>73</v>
      </c>
      <c r="T47" s="18" t="str">
        <f>IF(Table_3e_trimestre_H[[#This Row],[Moyenne]]&gt;5,"Validé","Non Validé")</f>
        <v>Validé</v>
      </c>
    </row>
    <row r="48" spans="1:20" s="12" customFormat="1" ht="20.25">
      <c r="A48" s="18">
        <v>47</v>
      </c>
      <c r="B48" s="15" t="s">
        <v>57</v>
      </c>
      <c r="C48" s="18" t="s">
        <v>20</v>
      </c>
      <c r="D48" s="18">
        <v>8</v>
      </c>
      <c r="E48" s="18">
        <v>2</v>
      </c>
      <c r="F48" s="19">
        <v>7</v>
      </c>
      <c r="G48" s="19">
        <v>10</v>
      </c>
      <c r="H48" s="19">
        <v>8</v>
      </c>
      <c r="I48" s="19">
        <v>10</v>
      </c>
      <c r="J48" s="19">
        <v>8</v>
      </c>
      <c r="K48" s="19">
        <v>7</v>
      </c>
      <c r="L48" s="19">
        <v>6</v>
      </c>
      <c r="M48" s="19">
        <v>6</v>
      </c>
      <c r="N48" s="19">
        <v>8</v>
      </c>
      <c r="O48" s="19">
        <v>10</v>
      </c>
      <c r="P48" s="19">
        <v>10</v>
      </c>
      <c r="Q48" s="19">
        <f>IF(COUNTA(F48:P48)=0,"",SUM(F48:P48))</f>
        <v>90</v>
      </c>
      <c r="R48" s="20">
        <f>IF(Q48="","",Q48/11)</f>
        <v>8.1818181818181817</v>
      </c>
      <c r="S48" s="18">
        <f>IF(R48="","",1+COUNTIF($R$2:$R$116,"&gt;"&amp;R48))</f>
        <v>32</v>
      </c>
      <c r="T48" s="18" t="str">
        <f>IF(Table_3e_trimestre_H[[#This Row],[Moyenne]]&gt;5,"Validé","Non Validé")</f>
        <v>Validé</v>
      </c>
    </row>
    <row r="49" spans="1:20" s="12" customFormat="1" ht="20.25">
      <c r="A49" s="18">
        <v>48</v>
      </c>
      <c r="B49" s="15" t="s">
        <v>58</v>
      </c>
      <c r="C49" s="18" t="s">
        <v>20</v>
      </c>
      <c r="D49" s="18">
        <v>8</v>
      </c>
      <c r="E49" s="18">
        <v>2</v>
      </c>
      <c r="F49" s="19">
        <v>7</v>
      </c>
      <c r="G49" s="19">
        <v>10</v>
      </c>
      <c r="H49" s="19">
        <v>9</v>
      </c>
      <c r="I49" s="19">
        <v>10</v>
      </c>
      <c r="J49" s="19">
        <v>9</v>
      </c>
      <c r="K49" s="19">
        <v>9</v>
      </c>
      <c r="L49" s="19">
        <v>7</v>
      </c>
      <c r="M49" s="19">
        <v>6</v>
      </c>
      <c r="N49" s="19">
        <v>10</v>
      </c>
      <c r="O49" s="19">
        <v>10</v>
      </c>
      <c r="P49" s="19">
        <v>10</v>
      </c>
      <c r="Q49" s="19">
        <f>IF(COUNTA(F49:P49)=0,"",SUM(F49:P49))</f>
        <v>97</v>
      </c>
      <c r="R49" s="20">
        <f>IF(Q49="","",Q49/11)</f>
        <v>8.8181818181818183</v>
      </c>
      <c r="S49" s="18">
        <f>IF(R49="","",1+COUNTIF($R$2:$R$116,"&gt;"&amp;R49))</f>
        <v>14</v>
      </c>
      <c r="T49" s="18" t="str">
        <f>IF(Table_3e_trimestre_H[[#This Row],[Moyenne]]&gt;5,"Validé","Non Validé")</f>
        <v>Validé</v>
      </c>
    </row>
    <row r="50" spans="1:20" s="12" customFormat="1" ht="20.25">
      <c r="A50" s="7">
        <v>55</v>
      </c>
      <c r="B50" s="8" t="s">
        <v>59</v>
      </c>
      <c r="C50" s="7" t="s">
        <v>18</v>
      </c>
      <c r="D50" s="7">
        <v>8</v>
      </c>
      <c r="E50" s="7">
        <v>2</v>
      </c>
      <c r="F50" s="9">
        <v>7</v>
      </c>
      <c r="G50" s="9">
        <v>6</v>
      </c>
      <c r="H50" s="9">
        <v>9</v>
      </c>
      <c r="I50" s="9">
        <v>4</v>
      </c>
      <c r="J50" s="9">
        <v>6</v>
      </c>
      <c r="K50" s="9">
        <v>9</v>
      </c>
      <c r="L50" s="9">
        <v>0</v>
      </c>
      <c r="M50" s="9">
        <v>5</v>
      </c>
      <c r="N50" s="9">
        <v>2</v>
      </c>
      <c r="O50" s="9">
        <v>8</v>
      </c>
      <c r="P50" s="9">
        <v>10</v>
      </c>
      <c r="Q50" s="9">
        <f>IF(COUNTA(F50:P50)=0,"",SUM(F50:P50))</f>
        <v>66</v>
      </c>
      <c r="R50" s="10">
        <f>IF(Q50="","",Q50/11)</f>
        <v>6</v>
      </c>
      <c r="S50" s="7">
        <f>IF(R50="","",1+COUNTIF($R$2:$R$116,"&gt;"&amp;R50))</f>
        <v>99</v>
      </c>
      <c r="T50" s="7" t="str">
        <f>IF(Table_3e_trimestre_H[[#This Row],[Moyenne]]&gt;5,"Validé","Non Validé")</f>
        <v>Validé</v>
      </c>
    </row>
    <row r="51" spans="1:20" s="11" customFormat="1" ht="20.25">
      <c r="A51" s="18">
        <v>49</v>
      </c>
      <c r="B51" s="15" t="s">
        <v>119</v>
      </c>
      <c r="C51" s="18" t="s">
        <v>20</v>
      </c>
      <c r="D51" s="18">
        <v>8</v>
      </c>
      <c r="E51" s="18">
        <v>2</v>
      </c>
      <c r="F51" s="19">
        <v>10</v>
      </c>
      <c r="G51" s="19">
        <v>10</v>
      </c>
      <c r="H51" s="19">
        <v>8</v>
      </c>
      <c r="I51" s="19">
        <v>10</v>
      </c>
      <c r="J51" s="19">
        <v>7</v>
      </c>
      <c r="K51" s="19">
        <v>9</v>
      </c>
      <c r="L51" s="19">
        <v>9</v>
      </c>
      <c r="M51" s="19">
        <v>8</v>
      </c>
      <c r="N51" s="19">
        <v>8</v>
      </c>
      <c r="O51" s="19">
        <v>10</v>
      </c>
      <c r="P51" s="19">
        <v>10</v>
      </c>
      <c r="Q51" s="19">
        <f>IF(COUNTA(F51:P51)=0,"",SUM(F51:P51))</f>
        <v>99</v>
      </c>
      <c r="R51" s="20">
        <f>IF(Q51="","",Q51/11)</f>
        <v>9</v>
      </c>
      <c r="S51" s="18">
        <f>IF(R51="","",1+COUNTIF($R$2:$R$116,"&gt;"&amp;R51))</f>
        <v>9</v>
      </c>
      <c r="T51" s="18" t="str">
        <f>IF(Table_3e_trimestre_H[[#This Row],[Moyenne]]&gt;5,"Validé","Non Validé")</f>
        <v>Validé</v>
      </c>
    </row>
    <row r="52" spans="1:20" s="12" customFormat="1" ht="20.25">
      <c r="A52" s="18">
        <v>56</v>
      </c>
      <c r="B52" s="15" t="s">
        <v>60</v>
      </c>
      <c r="C52" s="18" t="s">
        <v>20</v>
      </c>
      <c r="D52" s="18">
        <v>8</v>
      </c>
      <c r="E52" s="18">
        <v>2</v>
      </c>
      <c r="F52" s="19">
        <v>8</v>
      </c>
      <c r="G52" s="19">
        <v>10</v>
      </c>
      <c r="H52" s="19">
        <v>9</v>
      </c>
      <c r="I52" s="19">
        <v>2</v>
      </c>
      <c r="J52" s="19">
        <v>6</v>
      </c>
      <c r="K52" s="19">
        <v>9</v>
      </c>
      <c r="L52" s="19">
        <v>6</v>
      </c>
      <c r="M52" s="19">
        <v>6</v>
      </c>
      <c r="N52" s="19">
        <v>4</v>
      </c>
      <c r="O52" s="19">
        <v>10</v>
      </c>
      <c r="P52" s="19">
        <v>10</v>
      </c>
      <c r="Q52" s="19">
        <f>IF(COUNTA(F52:P52)=0,"",SUM(F52:P52))</f>
        <v>80</v>
      </c>
      <c r="R52" s="20">
        <f>IF(Q52="","",Q52/11)</f>
        <v>7.2727272727272725</v>
      </c>
      <c r="S52" s="18">
        <f>IF(R52="","",1+COUNTIF($R$2:$R$116,"&gt;"&amp;R52))</f>
        <v>56</v>
      </c>
      <c r="T52" s="18" t="str">
        <f>IF(Table_3e_trimestre_H[[#This Row],[Moyenne]]&gt;5,"Validé","Non Validé")</f>
        <v>Validé</v>
      </c>
    </row>
    <row r="53" spans="1:20" s="11" customFormat="1" ht="20.25">
      <c r="A53" s="18">
        <v>57</v>
      </c>
      <c r="B53" s="15" t="s">
        <v>61</v>
      </c>
      <c r="C53" s="18" t="s">
        <v>20</v>
      </c>
      <c r="D53" s="18">
        <v>8</v>
      </c>
      <c r="E53" s="18">
        <v>2</v>
      </c>
      <c r="F53" s="19">
        <v>9</v>
      </c>
      <c r="G53" s="19">
        <v>10</v>
      </c>
      <c r="H53" s="19">
        <v>9</v>
      </c>
      <c r="I53" s="19">
        <v>6</v>
      </c>
      <c r="J53" s="19">
        <v>6</v>
      </c>
      <c r="K53" s="19">
        <v>9</v>
      </c>
      <c r="L53" s="19">
        <v>4</v>
      </c>
      <c r="M53" s="19">
        <v>5</v>
      </c>
      <c r="N53" s="19">
        <v>3</v>
      </c>
      <c r="O53" s="19">
        <v>8</v>
      </c>
      <c r="P53" s="19">
        <v>5</v>
      </c>
      <c r="Q53" s="19">
        <f>IF(COUNTA(F53:P53)=0,"",SUM(F53:P53))</f>
        <v>74</v>
      </c>
      <c r="R53" s="20">
        <f>IF(Q53="","",Q53/11)</f>
        <v>6.7272727272727275</v>
      </c>
      <c r="S53" s="18">
        <f>IF(R53="","",1+COUNTIF($R$2:$R$116,"&gt;"&amp;R53))</f>
        <v>78</v>
      </c>
      <c r="T53" s="18" t="str">
        <f>IF(Table_3e_trimestre_H[[#This Row],[Moyenne]]&gt;5,"Validé","Non Validé")</f>
        <v>Validé</v>
      </c>
    </row>
    <row r="54" spans="1:20" s="3" customFormat="1" ht="20.25">
      <c r="A54" s="7">
        <v>50</v>
      </c>
      <c r="B54" s="8" t="s">
        <v>120</v>
      </c>
      <c r="C54" s="7" t="s">
        <v>18</v>
      </c>
      <c r="D54" s="7">
        <v>8</v>
      </c>
      <c r="E54" s="7">
        <v>2</v>
      </c>
      <c r="F54" s="9">
        <v>9</v>
      </c>
      <c r="G54" s="9">
        <v>10</v>
      </c>
      <c r="H54" s="9">
        <v>9</v>
      </c>
      <c r="I54" s="9">
        <v>10</v>
      </c>
      <c r="J54" s="9">
        <v>8</v>
      </c>
      <c r="K54" s="9">
        <v>10</v>
      </c>
      <c r="L54" s="9">
        <v>8</v>
      </c>
      <c r="M54" s="9">
        <v>8</v>
      </c>
      <c r="N54" s="9">
        <v>9</v>
      </c>
      <c r="O54" s="9">
        <v>10</v>
      </c>
      <c r="P54" s="9">
        <v>10</v>
      </c>
      <c r="Q54" s="9">
        <f>IF(COUNTA(F54:P54)=0,"",SUM(F54:P54))</f>
        <v>101</v>
      </c>
      <c r="R54" s="10">
        <f>IF(Q54="","",Q54/11)</f>
        <v>9.1818181818181817</v>
      </c>
      <c r="S54" s="7">
        <f>IF(R54="","",1+COUNTIF($R$2:$R$116,"&gt;"&amp;R54))</f>
        <v>8</v>
      </c>
      <c r="T54" s="7" t="str">
        <f>IF(Table_3e_trimestre_H[[#This Row],[Moyenne]]&gt;5,"Validé","Non Validé")</f>
        <v>Validé</v>
      </c>
    </row>
    <row r="55" spans="1:20" s="3" customFormat="1" ht="20.25">
      <c r="A55" s="18">
        <v>51</v>
      </c>
      <c r="B55" s="15" t="s">
        <v>121</v>
      </c>
      <c r="C55" s="18" t="s">
        <v>20</v>
      </c>
      <c r="D55" s="18">
        <v>8</v>
      </c>
      <c r="E55" s="18">
        <v>2</v>
      </c>
      <c r="F55" s="19">
        <v>9</v>
      </c>
      <c r="G55" s="19">
        <v>10</v>
      </c>
      <c r="H55" s="19">
        <v>9</v>
      </c>
      <c r="I55" s="19">
        <v>6</v>
      </c>
      <c r="J55" s="19">
        <v>8</v>
      </c>
      <c r="K55" s="19">
        <v>10</v>
      </c>
      <c r="L55" s="19">
        <v>7</v>
      </c>
      <c r="M55" s="19">
        <v>6</v>
      </c>
      <c r="N55" s="19">
        <v>6</v>
      </c>
      <c r="O55" s="19">
        <v>8</v>
      </c>
      <c r="P55" s="19">
        <v>5</v>
      </c>
      <c r="Q55" s="19">
        <f>IF(COUNTA(F55:P55)=0,"",SUM(F55:P55))</f>
        <v>84</v>
      </c>
      <c r="R55" s="20">
        <f>IF(Q55="","",Q55/11)</f>
        <v>7.6363636363636367</v>
      </c>
      <c r="S55" s="18">
        <f>IF(R55="","",1+COUNTIF($R$2:$R$116,"&gt;"&amp;R55))</f>
        <v>47</v>
      </c>
      <c r="T55" s="18" t="str">
        <f>IF(Table_3e_trimestre_H[[#This Row],[Moyenne]]&gt;5,"Validé","Non Validé")</f>
        <v>Validé</v>
      </c>
    </row>
    <row r="56" spans="1:20" ht="20.25">
      <c r="A56" s="18">
        <v>58</v>
      </c>
      <c r="B56" s="15" t="s">
        <v>62</v>
      </c>
      <c r="C56" s="18" t="s">
        <v>20</v>
      </c>
      <c r="D56" s="18">
        <v>8</v>
      </c>
      <c r="E56" s="18">
        <v>2</v>
      </c>
      <c r="F56" s="19">
        <v>8</v>
      </c>
      <c r="G56" s="19">
        <v>10</v>
      </c>
      <c r="H56" s="19">
        <v>8</v>
      </c>
      <c r="I56" s="19">
        <v>4</v>
      </c>
      <c r="J56" s="19">
        <v>6</v>
      </c>
      <c r="K56" s="19">
        <v>9</v>
      </c>
      <c r="L56" s="19">
        <v>1</v>
      </c>
      <c r="M56" s="19">
        <v>3</v>
      </c>
      <c r="N56" s="19">
        <v>5</v>
      </c>
      <c r="O56" s="19">
        <v>8</v>
      </c>
      <c r="P56" s="19">
        <v>4</v>
      </c>
      <c r="Q56" s="19">
        <f>IF(COUNTA(F56:P56)=0,"",SUM(F56:P56))</f>
        <v>66</v>
      </c>
      <c r="R56" s="20">
        <f>IF(Q56="","",Q56/11)</f>
        <v>6</v>
      </c>
      <c r="S56" s="18">
        <f>IF(R56="","",1+COUNTIF($R$2:$R$116,"&gt;"&amp;R56))</f>
        <v>99</v>
      </c>
      <c r="T56" s="18" t="str">
        <f>IF(Table_3e_trimestre_H[[#This Row],[Moyenne]]&gt;5,"Validé","Non Validé")</f>
        <v>Validé</v>
      </c>
    </row>
    <row r="57" spans="1:20" s="3" customFormat="1" ht="20.25">
      <c r="A57" s="18">
        <v>59</v>
      </c>
      <c r="B57" s="15" t="s">
        <v>63</v>
      </c>
      <c r="C57" s="18" t="s">
        <v>20</v>
      </c>
      <c r="D57" s="18">
        <v>8</v>
      </c>
      <c r="E57" s="18">
        <v>2</v>
      </c>
      <c r="F57" s="19">
        <v>9</v>
      </c>
      <c r="G57" s="19">
        <v>8</v>
      </c>
      <c r="H57" s="19">
        <v>8</v>
      </c>
      <c r="I57" s="19">
        <v>4</v>
      </c>
      <c r="J57" s="19">
        <v>6</v>
      </c>
      <c r="K57" s="19">
        <v>9</v>
      </c>
      <c r="L57" s="19">
        <v>0</v>
      </c>
      <c r="M57" s="19">
        <v>5</v>
      </c>
      <c r="N57" s="19">
        <v>3</v>
      </c>
      <c r="O57" s="19">
        <v>8</v>
      </c>
      <c r="P57" s="19">
        <v>2</v>
      </c>
      <c r="Q57" s="19">
        <f>IF(COUNTA(F57:P57)=0,"",SUM(F57:P57))</f>
        <v>62</v>
      </c>
      <c r="R57" s="20">
        <f>IF(Q57="","",Q57/11)</f>
        <v>5.6363636363636367</v>
      </c>
      <c r="S57" s="18">
        <f>IF(R57="","",1+COUNTIF($R$2:$R$116,"&gt;"&amp;R57))</f>
        <v>109</v>
      </c>
      <c r="T57" s="18" t="str">
        <f>IF(Table_3e_trimestre_H[[#This Row],[Moyenne]]&gt;5,"Validé","Non Validé")</f>
        <v>Validé</v>
      </c>
    </row>
    <row r="58" spans="1:20" s="3" customFormat="1" ht="20.25">
      <c r="A58" s="7">
        <v>52</v>
      </c>
      <c r="B58" s="8" t="s">
        <v>122</v>
      </c>
      <c r="C58" s="7" t="s">
        <v>18</v>
      </c>
      <c r="D58" s="7">
        <v>8</v>
      </c>
      <c r="E58" s="7">
        <v>2</v>
      </c>
      <c r="F58" s="9">
        <v>7</v>
      </c>
      <c r="G58" s="9">
        <v>10</v>
      </c>
      <c r="H58" s="9">
        <v>8</v>
      </c>
      <c r="I58" s="9">
        <v>2</v>
      </c>
      <c r="J58" s="9">
        <v>7</v>
      </c>
      <c r="K58" s="9">
        <v>10</v>
      </c>
      <c r="L58" s="9">
        <v>1</v>
      </c>
      <c r="M58" s="9">
        <v>4</v>
      </c>
      <c r="N58" s="9">
        <v>3</v>
      </c>
      <c r="O58" s="9">
        <v>10</v>
      </c>
      <c r="P58" s="9">
        <v>8</v>
      </c>
      <c r="Q58" s="9">
        <f>IF(COUNTA(F58:P58)=0,"",SUM(F58:P58))</f>
        <v>70</v>
      </c>
      <c r="R58" s="10">
        <f>IF(Q58="","",Q58/11)</f>
        <v>6.3636363636363633</v>
      </c>
      <c r="S58" s="7">
        <f>IF(R58="","",1+COUNTIF($R$2:$R$116,"&gt;"&amp;R58))</f>
        <v>92</v>
      </c>
      <c r="T58" s="7" t="str">
        <f>IF(Table_3e_trimestre_H[[#This Row],[Moyenne]]&gt;5,"Validé","Non Validé")</f>
        <v>Validé</v>
      </c>
    </row>
    <row r="59" spans="1:20" s="3" customFormat="1" ht="20.25">
      <c r="A59" s="7">
        <v>60</v>
      </c>
      <c r="B59" s="8" t="s">
        <v>64</v>
      </c>
      <c r="C59" s="7" t="s">
        <v>18</v>
      </c>
      <c r="D59" s="7">
        <v>8</v>
      </c>
      <c r="E59" s="7">
        <v>2</v>
      </c>
      <c r="F59" s="9">
        <v>8</v>
      </c>
      <c r="G59" s="9">
        <v>10</v>
      </c>
      <c r="H59" s="9">
        <v>10</v>
      </c>
      <c r="I59" s="9">
        <v>7</v>
      </c>
      <c r="J59" s="9">
        <v>7</v>
      </c>
      <c r="K59" s="9">
        <v>9</v>
      </c>
      <c r="L59" s="9">
        <v>0</v>
      </c>
      <c r="M59" s="9">
        <v>6</v>
      </c>
      <c r="N59" s="9">
        <v>7</v>
      </c>
      <c r="O59" s="9">
        <v>10</v>
      </c>
      <c r="P59" s="9">
        <v>6</v>
      </c>
      <c r="Q59" s="9">
        <f>IF(COUNTA(F59:P59)=0,"",SUM(F59:P59))</f>
        <v>80</v>
      </c>
      <c r="R59" s="10">
        <f>IF(Q59="","",Q59/11)</f>
        <v>7.2727272727272725</v>
      </c>
      <c r="S59" s="7">
        <f>IF(R59="","",1+COUNTIF($R$2:$R$116,"&gt;"&amp;R59))</f>
        <v>56</v>
      </c>
      <c r="T59" s="7" t="str">
        <f>IF(Table_3e_trimestre_H[[#This Row],[Moyenne]]&gt;5,"Validé","Non Validé")</f>
        <v>Validé</v>
      </c>
    </row>
    <row r="60" spans="1:20" s="3" customFormat="1" ht="20.25">
      <c r="A60" s="7">
        <v>61</v>
      </c>
      <c r="B60" s="8" t="s">
        <v>65</v>
      </c>
      <c r="C60" s="7" t="s">
        <v>18</v>
      </c>
      <c r="D60" s="7">
        <v>8</v>
      </c>
      <c r="E60" s="7">
        <v>2</v>
      </c>
      <c r="F60" s="9">
        <v>10</v>
      </c>
      <c r="G60" s="9">
        <v>10</v>
      </c>
      <c r="H60" s="9">
        <v>7</v>
      </c>
      <c r="I60" s="9">
        <v>9</v>
      </c>
      <c r="J60" s="9">
        <v>7</v>
      </c>
      <c r="K60" s="9">
        <v>10</v>
      </c>
      <c r="L60" s="9">
        <v>7</v>
      </c>
      <c r="M60" s="9">
        <v>7</v>
      </c>
      <c r="N60" s="9">
        <v>9</v>
      </c>
      <c r="O60" s="9">
        <v>10</v>
      </c>
      <c r="P60" s="9">
        <v>4</v>
      </c>
      <c r="Q60" s="9">
        <f>IF(COUNTA(F60:P60)=0,"",SUM(F60:P60))</f>
        <v>90</v>
      </c>
      <c r="R60" s="10">
        <f>IF(Q60="","",Q60/11)</f>
        <v>8.1818181818181817</v>
      </c>
      <c r="S60" s="7">
        <f>IF(R60="","",1+COUNTIF($R$2:$R$116,"&gt;"&amp;R60))</f>
        <v>32</v>
      </c>
      <c r="T60" s="7" t="str">
        <f>IF(Table_3e_trimestre_H[[#This Row],[Moyenne]]&gt;5,"Validé","Non Validé")</f>
        <v>Validé</v>
      </c>
    </row>
    <row r="61" spans="1:20" ht="20.25">
      <c r="A61" s="7">
        <v>62</v>
      </c>
      <c r="B61" s="8" t="s">
        <v>66</v>
      </c>
      <c r="C61" s="7" t="s">
        <v>18</v>
      </c>
      <c r="D61" s="7">
        <v>8</v>
      </c>
      <c r="E61" s="7">
        <v>2</v>
      </c>
      <c r="F61" s="9">
        <v>9</v>
      </c>
      <c r="G61" s="9">
        <v>10</v>
      </c>
      <c r="H61" s="9">
        <v>7</v>
      </c>
      <c r="I61" s="9">
        <v>5</v>
      </c>
      <c r="J61" s="9">
        <v>8</v>
      </c>
      <c r="K61" s="9">
        <v>9</v>
      </c>
      <c r="L61" s="9">
        <v>0</v>
      </c>
      <c r="M61" s="9">
        <v>6</v>
      </c>
      <c r="N61" s="9">
        <v>5</v>
      </c>
      <c r="O61" s="9">
        <v>10</v>
      </c>
      <c r="P61" s="9">
        <v>8</v>
      </c>
      <c r="Q61" s="9">
        <f>IF(COUNTA(F61:P61)=0,"",SUM(F61:P61))</f>
        <v>77</v>
      </c>
      <c r="R61" s="10">
        <f>IF(Q61="","",Q61/11)</f>
        <v>7</v>
      </c>
      <c r="S61" s="7">
        <f>IF(R61="","",1+COUNTIF($R$2:$R$116,"&gt;"&amp;R61))</f>
        <v>68</v>
      </c>
      <c r="T61" s="7" t="str">
        <f>IF(Table_3e_trimestre_H[[#This Row],[Moyenne]]&gt;5,"Validé","Non Validé")</f>
        <v>Validé</v>
      </c>
    </row>
    <row r="62" spans="1:20" ht="20.25">
      <c r="A62" s="7">
        <v>63</v>
      </c>
      <c r="B62" s="8" t="s">
        <v>67</v>
      </c>
      <c r="C62" s="7" t="s">
        <v>18</v>
      </c>
      <c r="D62" s="7">
        <v>8</v>
      </c>
      <c r="E62" s="7">
        <v>2</v>
      </c>
      <c r="F62" s="9">
        <v>7</v>
      </c>
      <c r="G62" s="9">
        <v>10</v>
      </c>
      <c r="H62" s="9">
        <v>7</v>
      </c>
      <c r="I62" s="9">
        <v>4</v>
      </c>
      <c r="J62" s="9">
        <v>7</v>
      </c>
      <c r="K62" s="9">
        <v>5</v>
      </c>
      <c r="L62" s="9">
        <v>0</v>
      </c>
      <c r="M62" s="9">
        <v>5</v>
      </c>
      <c r="N62" s="9">
        <v>7</v>
      </c>
      <c r="O62" s="9">
        <v>10</v>
      </c>
      <c r="P62" s="9">
        <v>2</v>
      </c>
      <c r="Q62" s="9">
        <f>IF(COUNTA(F62:P62)=0,"",SUM(F62:P62))</f>
        <v>64</v>
      </c>
      <c r="R62" s="10">
        <f>IF(Q62="","",Q62/11)</f>
        <v>5.8181818181818183</v>
      </c>
      <c r="S62" s="7">
        <f>IF(R62="","",1+COUNTIF($R$2:$R$116,"&gt;"&amp;R62))</f>
        <v>104</v>
      </c>
      <c r="T62" s="7" t="str">
        <f>IF(Table_3e_trimestre_H[[#This Row],[Moyenne]]&gt;5,"Validé","Non Validé")</f>
        <v>Validé</v>
      </c>
    </row>
    <row r="63" spans="1:20" ht="20.25">
      <c r="A63" s="18">
        <v>64</v>
      </c>
      <c r="B63" s="15" t="s">
        <v>68</v>
      </c>
      <c r="C63" s="18" t="s">
        <v>20</v>
      </c>
      <c r="D63" s="18">
        <v>8</v>
      </c>
      <c r="E63" s="18">
        <v>2</v>
      </c>
      <c r="F63" s="19">
        <v>9</v>
      </c>
      <c r="G63" s="19">
        <v>10</v>
      </c>
      <c r="H63" s="19">
        <v>7</v>
      </c>
      <c r="I63" s="19">
        <v>5</v>
      </c>
      <c r="J63" s="19">
        <v>6</v>
      </c>
      <c r="K63" s="19">
        <v>9</v>
      </c>
      <c r="L63" s="19">
        <v>8</v>
      </c>
      <c r="M63" s="19">
        <v>6</v>
      </c>
      <c r="N63" s="19">
        <v>6</v>
      </c>
      <c r="O63" s="19">
        <v>8</v>
      </c>
      <c r="P63" s="19">
        <v>8</v>
      </c>
      <c r="Q63" s="19">
        <f>IF(COUNTA(F63:P63)=0,"",SUM(F63:P63))</f>
        <v>82</v>
      </c>
      <c r="R63" s="20">
        <f>IF(Q63="","",Q63/11)</f>
        <v>7.4545454545454541</v>
      </c>
      <c r="S63" s="18">
        <f>IF(R63="","",1+COUNTIF($R$2:$R$116,"&gt;"&amp;R63))</f>
        <v>52</v>
      </c>
      <c r="T63" s="18" t="str">
        <f>IF(Table_3e_trimestre_H[[#This Row],[Moyenne]]&gt;5,"Validé","Non Validé")</f>
        <v>Validé</v>
      </c>
    </row>
    <row r="64" spans="1:20" ht="20.25">
      <c r="A64" s="7">
        <v>65</v>
      </c>
      <c r="B64" s="8" t="s">
        <v>69</v>
      </c>
      <c r="C64" s="7" t="s">
        <v>18</v>
      </c>
      <c r="D64" s="7">
        <v>8</v>
      </c>
      <c r="E64" s="7">
        <v>2</v>
      </c>
      <c r="F64" s="9">
        <v>8</v>
      </c>
      <c r="G64" s="9">
        <v>10</v>
      </c>
      <c r="H64" s="9">
        <v>8</v>
      </c>
      <c r="I64" s="9">
        <v>9</v>
      </c>
      <c r="J64" s="9">
        <v>9</v>
      </c>
      <c r="K64" s="9">
        <v>10</v>
      </c>
      <c r="L64" s="9">
        <v>0</v>
      </c>
      <c r="M64" s="9">
        <v>5</v>
      </c>
      <c r="N64" s="9">
        <v>8</v>
      </c>
      <c r="O64" s="9">
        <v>10</v>
      </c>
      <c r="P64" s="9">
        <v>6</v>
      </c>
      <c r="Q64" s="9">
        <f>IF(COUNTA(F64:P64)=0,"",SUM(F64:P64))</f>
        <v>83</v>
      </c>
      <c r="R64" s="10">
        <f>IF(Q64="","",Q64/11)</f>
        <v>7.5454545454545459</v>
      </c>
      <c r="S64" s="7">
        <f>IF(R64="","",1+COUNTIF($R$2:$R$116,"&gt;"&amp;R64))</f>
        <v>48</v>
      </c>
      <c r="T64" s="7" t="str">
        <f>IF(Table_3e_trimestre_H[[#This Row],[Moyenne]]&gt;5,"Validé","Non Validé")</f>
        <v>Validé</v>
      </c>
    </row>
    <row r="65" spans="1:20" s="3" customFormat="1" ht="20.25">
      <c r="A65" s="7">
        <v>66</v>
      </c>
      <c r="B65" s="8" t="s">
        <v>70</v>
      </c>
      <c r="C65" s="7" t="s">
        <v>18</v>
      </c>
      <c r="D65" s="7">
        <v>8</v>
      </c>
      <c r="E65" s="7">
        <v>2</v>
      </c>
      <c r="F65" s="9">
        <v>8</v>
      </c>
      <c r="G65" s="9">
        <v>10</v>
      </c>
      <c r="H65" s="9">
        <v>9</v>
      </c>
      <c r="I65" s="9">
        <v>6</v>
      </c>
      <c r="J65" s="9">
        <v>6</v>
      </c>
      <c r="K65" s="9">
        <v>10</v>
      </c>
      <c r="L65" s="9">
        <v>0</v>
      </c>
      <c r="M65" s="9">
        <v>8</v>
      </c>
      <c r="N65" s="9">
        <v>2</v>
      </c>
      <c r="O65" s="9">
        <v>10</v>
      </c>
      <c r="P65" s="9">
        <v>8</v>
      </c>
      <c r="Q65" s="9">
        <f>IF(COUNTA(F65:P65)=0,"",SUM(F65:P65))</f>
        <v>77</v>
      </c>
      <c r="R65" s="10">
        <f>IF(Q65="","",Q65/11)</f>
        <v>7</v>
      </c>
      <c r="S65" s="7">
        <f>IF(R65="","",1+COUNTIF($R$2:$R$116,"&gt;"&amp;R65))</f>
        <v>68</v>
      </c>
      <c r="T65" s="7" t="str">
        <f>IF(Table_3e_trimestre_H[[#This Row],[Moyenne]]&gt;5,"Validé","Non Validé")</f>
        <v>Validé</v>
      </c>
    </row>
    <row r="66" spans="1:20" ht="20.25">
      <c r="A66" s="18">
        <v>67</v>
      </c>
      <c r="B66" s="15" t="s">
        <v>71</v>
      </c>
      <c r="C66" s="18" t="s">
        <v>20</v>
      </c>
      <c r="D66" s="18">
        <v>8</v>
      </c>
      <c r="E66" s="18">
        <v>2</v>
      </c>
      <c r="F66" s="19">
        <v>9</v>
      </c>
      <c r="G66" s="19">
        <v>10</v>
      </c>
      <c r="H66" s="19">
        <v>8</v>
      </c>
      <c r="I66" s="19">
        <v>10</v>
      </c>
      <c r="J66" s="19">
        <v>9</v>
      </c>
      <c r="K66" s="19">
        <v>9</v>
      </c>
      <c r="L66" s="19">
        <v>9</v>
      </c>
      <c r="M66" s="19">
        <v>7</v>
      </c>
      <c r="N66" s="19">
        <v>5</v>
      </c>
      <c r="O66" s="19">
        <v>8</v>
      </c>
      <c r="P66" s="19">
        <v>8</v>
      </c>
      <c r="Q66" s="19">
        <f>IF(COUNTA(F66:P66)=0,"",SUM(F66:P66))</f>
        <v>92</v>
      </c>
      <c r="R66" s="20">
        <f>IF(Q66="","",Q66/11)</f>
        <v>8.3636363636363633</v>
      </c>
      <c r="S66" s="18">
        <f>IF(R66="","",1+COUNTIF($R$2:$R$116,"&gt;"&amp;R66))</f>
        <v>24</v>
      </c>
      <c r="T66" s="18" t="str">
        <f>IF(Table_3e_trimestre_H[[#This Row],[Moyenne]]&gt;5,"Validé","Non Validé")</f>
        <v>Validé</v>
      </c>
    </row>
    <row r="67" spans="1:20" ht="20.25">
      <c r="A67" s="18">
        <v>53</v>
      </c>
      <c r="B67" s="15" t="s">
        <v>123</v>
      </c>
      <c r="C67" s="18" t="s">
        <v>20</v>
      </c>
      <c r="D67" s="18">
        <v>8</v>
      </c>
      <c r="E67" s="18">
        <v>2</v>
      </c>
      <c r="F67" s="19">
        <v>9</v>
      </c>
      <c r="G67" s="19">
        <v>10</v>
      </c>
      <c r="H67" s="19">
        <v>8</v>
      </c>
      <c r="I67" s="19">
        <v>8</v>
      </c>
      <c r="J67" s="19">
        <v>8</v>
      </c>
      <c r="K67" s="19">
        <v>10</v>
      </c>
      <c r="L67" s="19">
        <v>0</v>
      </c>
      <c r="M67" s="19">
        <v>7</v>
      </c>
      <c r="N67" s="19">
        <v>7</v>
      </c>
      <c r="O67" s="19">
        <v>10</v>
      </c>
      <c r="P67" s="19">
        <v>8</v>
      </c>
      <c r="Q67" s="19">
        <f>IF(COUNTA(F67:P67)=0,"",SUM(F67:P67))</f>
        <v>85</v>
      </c>
      <c r="R67" s="20">
        <f>IF(Q67="","",Q67/11)</f>
        <v>7.7272727272727275</v>
      </c>
      <c r="S67" s="18">
        <f>IF(R67="","",1+COUNTIF($R$2:$R$116,"&gt;"&amp;R67))</f>
        <v>43</v>
      </c>
      <c r="T67" s="18" t="str">
        <f>IF(Table_3e_trimestre_H[[#This Row],[Moyenne]]&gt;5,"Validé","Non Validé")</f>
        <v>Validé</v>
      </c>
    </row>
    <row r="68" spans="1:20" s="3" customFormat="1" ht="20.25">
      <c r="A68" s="18">
        <v>54</v>
      </c>
      <c r="B68" s="15" t="s">
        <v>124</v>
      </c>
      <c r="C68" s="18" t="s">
        <v>20</v>
      </c>
      <c r="D68" s="18">
        <v>8</v>
      </c>
      <c r="E68" s="18">
        <v>2</v>
      </c>
      <c r="F68" s="19">
        <v>8</v>
      </c>
      <c r="G68" s="19">
        <v>10</v>
      </c>
      <c r="H68" s="19">
        <v>9</v>
      </c>
      <c r="I68" s="19">
        <v>2</v>
      </c>
      <c r="J68" s="19">
        <v>7</v>
      </c>
      <c r="K68" s="19">
        <v>10</v>
      </c>
      <c r="L68" s="19">
        <v>3</v>
      </c>
      <c r="M68" s="19">
        <v>5</v>
      </c>
      <c r="N68" s="19">
        <v>5</v>
      </c>
      <c r="O68" s="19">
        <v>8</v>
      </c>
      <c r="P68" s="19">
        <v>10</v>
      </c>
      <c r="Q68" s="19">
        <f>IF(COUNTA(F68:P68)=0,"",SUM(F68:P68))</f>
        <v>77</v>
      </c>
      <c r="R68" s="20">
        <f>IF(Q68="","",Q68/11)</f>
        <v>7</v>
      </c>
      <c r="S68" s="18">
        <f>IF(R68="","",1+COUNTIF($R$2:$R$116,"&gt;"&amp;R68))</f>
        <v>68</v>
      </c>
      <c r="T68" s="18" t="str">
        <f>IF(Table_3e_trimestre_H[[#This Row],[Moyenne]]&gt;5,"Validé","Non Validé")</f>
        <v>Validé</v>
      </c>
    </row>
    <row r="69" spans="1:20" s="3" customFormat="1" ht="20.25">
      <c r="A69" s="18">
        <v>68</v>
      </c>
      <c r="B69" s="15" t="s">
        <v>72</v>
      </c>
      <c r="C69" s="18" t="s">
        <v>20</v>
      </c>
      <c r="D69" s="18">
        <v>9</v>
      </c>
      <c r="E69" s="18">
        <v>2</v>
      </c>
      <c r="F69" s="19">
        <v>10</v>
      </c>
      <c r="G69" s="19">
        <v>10</v>
      </c>
      <c r="H69" s="19">
        <v>8</v>
      </c>
      <c r="I69" s="19">
        <v>10</v>
      </c>
      <c r="J69" s="19">
        <v>10</v>
      </c>
      <c r="K69" s="19">
        <v>10</v>
      </c>
      <c r="L69" s="19">
        <v>9</v>
      </c>
      <c r="M69" s="19">
        <v>10</v>
      </c>
      <c r="N69" s="19">
        <v>9</v>
      </c>
      <c r="O69" s="19">
        <v>10</v>
      </c>
      <c r="P69" s="19">
        <v>8</v>
      </c>
      <c r="Q69" s="19">
        <f>IF(COUNTA(F69:P69)=0,"",SUM(F69:P69))</f>
        <v>104</v>
      </c>
      <c r="R69" s="20">
        <f>IF(Q69="","",Q69/11)</f>
        <v>9.454545454545455</v>
      </c>
      <c r="S69" s="18">
        <f>IF(R69="","",1+COUNTIF($R$2:$R$116,"&gt;"&amp;R69))</f>
        <v>6</v>
      </c>
      <c r="T69" s="18" t="str">
        <f>IF(Table_3e_trimestre_H[[#This Row],[Moyenne]]&gt;5,"Validé","Non Validé")</f>
        <v>Validé</v>
      </c>
    </row>
    <row r="70" spans="1:20" s="3" customFormat="1" ht="20.25">
      <c r="A70" s="18">
        <v>69</v>
      </c>
      <c r="B70" s="15" t="s">
        <v>73</v>
      </c>
      <c r="C70" s="18" t="s">
        <v>20</v>
      </c>
      <c r="D70" s="18">
        <v>8</v>
      </c>
      <c r="E70" s="18">
        <v>2</v>
      </c>
      <c r="F70" s="19">
        <v>9</v>
      </c>
      <c r="G70" s="19">
        <v>10</v>
      </c>
      <c r="H70" s="19">
        <v>8</v>
      </c>
      <c r="I70" s="19">
        <v>8</v>
      </c>
      <c r="J70" s="19">
        <v>7</v>
      </c>
      <c r="K70" s="19">
        <v>8</v>
      </c>
      <c r="L70" s="19">
        <v>5</v>
      </c>
      <c r="M70" s="19">
        <v>6</v>
      </c>
      <c r="N70" s="19">
        <v>10</v>
      </c>
      <c r="O70" s="19">
        <v>10</v>
      </c>
      <c r="P70" s="19">
        <v>10</v>
      </c>
      <c r="Q70" s="19">
        <f>IF(COUNTA(F70:P70)=0,"",SUM(F70:P70))</f>
        <v>91</v>
      </c>
      <c r="R70" s="20">
        <f>IF(Q70="","",Q70/11)</f>
        <v>8.2727272727272734</v>
      </c>
      <c r="S70" s="18">
        <f>IF(R70="","",1+COUNTIF($R$2:$R$116,"&gt;"&amp;R70))</f>
        <v>30</v>
      </c>
      <c r="T70" s="18" t="str">
        <f>IF(Table_3e_trimestre_H[[#This Row],[Moyenne]]&gt;5,"Validé","Non Validé")</f>
        <v>Validé</v>
      </c>
    </row>
    <row r="71" spans="1:20" s="3" customFormat="1" ht="20.25">
      <c r="A71" s="18">
        <v>70</v>
      </c>
      <c r="B71" s="15" t="s">
        <v>74</v>
      </c>
      <c r="C71" s="18" t="s">
        <v>20</v>
      </c>
      <c r="D71" s="18">
        <v>8</v>
      </c>
      <c r="E71" s="18">
        <v>2</v>
      </c>
      <c r="F71" s="19">
        <v>9</v>
      </c>
      <c r="G71" s="19">
        <v>10</v>
      </c>
      <c r="H71" s="19">
        <v>8</v>
      </c>
      <c r="I71" s="19">
        <v>10</v>
      </c>
      <c r="J71" s="19">
        <v>7</v>
      </c>
      <c r="K71" s="19">
        <v>10</v>
      </c>
      <c r="L71" s="19">
        <v>1</v>
      </c>
      <c r="M71" s="19">
        <v>6</v>
      </c>
      <c r="N71" s="19">
        <v>8</v>
      </c>
      <c r="O71" s="19">
        <v>10</v>
      </c>
      <c r="P71" s="19">
        <v>6</v>
      </c>
      <c r="Q71" s="19">
        <f>IF(COUNTA(F71:P71)=0,"",SUM(F71:P71))</f>
        <v>85</v>
      </c>
      <c r="R71" s="20">
        <f>IF(Q71="","",Q71/11)</f>
        <v>7.7272727272727275</v>
      </c>
      <c r="S71" s="18">
        <f>IF(R71="","",1+COUNTIF($R$2:$R$116,"&gt;"&amp;R71))</f>
        <v>43</v>
      </c>
      <c r="T71" s="18" t="str">
        <f>IF(Table_3e_trimestre_H[[#This Row],[Moyenne]]&gt;5,"Validé","Non Validé")</f>
        <v>Validé</v>
      </c>
    </row>
    <row r="72" spans="1:20" s="3" customFormat="1" ht="20.25">
      <c r="A72" s="18">
        <v>71</v>
      </c>
      <c r="B72" s="15" t="s">
        <v>75</v>
      </c>
      <c r="C72" s="18" t="s">
        <v>20</v>
      </c>
      <c r="D72" s="18">
        <v>8</v>
      </c>
      <c r="E72" s="18">
        <v>2</v>
      </c>
      <c r="F72" s="19">
        <v>9</v>
      </c>
      <c r="G72" s="19">
        <v>10</v>
      </c>
      <c r="H72" s="19">
        <v>8</v>
      </c>
      <c r="I72" s="19">
        <v>5</v>
      </c>
      <c r="J72" s="19">
        <v>7</v>
      </c>
      <c r="K72" s="19">
        <v>10</v>
      </c>
      <c r="L72" s="19">
        <v>5</v>
      </c>
      <c r="M72" s="19">
        <v>7</v>
      </c>
      <c r="N72" s="19">
        <v>8</v>
      </c>
      <c r="O72" s="19">
        <v>10</v>
      </c>
      <c r="P72" s="19">
        <v>10</v>
      </c>
      <c r="Q72" s="19">
        <f>IF(COUNTA(F72:P72)=0,"",SUM(F72:P72))</f>
        <v>89</v>
      </c>
      <c r="R72" s="20">
        <f>IF(Q72="","",Q72/11)</f>
        <v>8.0909090909090917</v>
      </c>
      <c r="S72" s="18">
        <f>IF(R72="","",1+COUNTIF($R$2:$R$116,"&gt;"&amp;R72))</f>
        <v>35</v>
      </c>
      <c r="T72" s="18" t="str">
        <f>IF(Table_3e_trimestre_H[[#This Row],[Moyenne]]&gt;5,"Validé","Non Validé")</f>
        <v>Validé</v>
      </c>
    </row>
    <row r="73" spans="1:20" ht="20.25">
      <c r="A73" s="7">
        <v>72</v>
      </c>
      <c r="B73" s="8" t="s">
        <v>76</v>
      </c>
      <c r="C73" s="7" t="s">
        <v>18</v>
      </c>
      <c r="D73" s="7">
        <v>8</v>
      </c>
      <c r="E73" s="7">
        <v>2</v>
      </c>
      <c r="F73" s="9">
        <v>6</v>
      </c>
      <c r="G73" s="9">
        <v>10</v>
      </c>
      <c r="H73" s="9">
        <v>10</v>
      </c>
      <c r="I73" s="9">
        <v>5</v>
      </c>
      <c r="J73" s="9">
        <v>6</v>
      </c>
      <c r="K73" s="9">
        <v>4</v>
      </c>
      <c r="L73" s="9">
        <v>3</v>
      </c>
      <c r="M73" s="9">
        <v>6</v>
      </c>
      <c r="N73" s="9">
        <v>3</v>
      </c>
      <c r="O73" s="9">
        <v>8</v>
      </c>
      <c r="P73" s="9">
        <v>10</v>
      </c>
      <c r="Q73" s="9">
        <f>IF(COUNTA(F73:P73)=0,"",SUM(F73:P73))</f>
        <v>71</v>
      </c>
      <c r="R73" s="10">
        <f>IF(Q73="","",Q73/11)</f>
        <v>6.4545454545454541</v>
      </c>
      <c r="S73" s="7">
        <f>IF(R73="","",1+COUNTIF($R$2:$R$116,"&gt;"&amp;R73))</f>
        <v>85</v>
      </c>
      <c r="T73" s="7" t="str">
        <f>IF(Table_3e_trimestre_H[[#This Row],[Moyenne]]&gt;5,"Validé","Non Validé")</f>
        <v>Validé</v>
      </c>
    </row>
    <row r="74" spans="1:20" ht="20.25">
      <c r="A74" s="7">
        <v>73</v>
      </c>
      <c r="B74" s="8" t="s">
        <v>77</v>
      </c>
      <c r="C74" s="7" t="s">
        <v>18</v>
      </c>
      <c r="D74" s="7">
        <v>8</v>
      </c>
      <c r="E74" s="7">
        <v>2</v>
      </c>
      <c r="F74" s="9">
        <v>7</v>
      </c>
      <c r="G74" s="9">
        <v>10</v>
      </c>
      <c r="H74" s="9">
        <v>9</v>
      </c>
      <c r="I74" s="9">
        <v>9</v>
      </c>
      <c r="J74" s="9">
        <v>9</v>
      </c>
      <c r="K74" s="9">
        <v>9</v>
      </c>
      <c r="L74" s="9">
        <v>6</v>
      </c>
      <c r="M74" s="9">
        <v>9</v>
      </c>
      <c r="N74" s="9">
        <v>10</v>
      </c>
      <c r="O74" s="9">
        <v>10</v>
      </c>
      <c r="P74" s="9">
        <v>10</v>
      </c>
      <c r="Q74" s="9">
        <f>IF(COUNTA(F74:P74)=0,"",SUM(F74:P74))</f>
        <v>98</v>
      </c>
      <c r="R74" s="10">
        <f>IF(Q74="","",Q74/11)</f>
        <v>8.9090909090909083</v>
      </c>
      <c r="S74" s="7">
        <f>IF(R74="","",1+COUNTIF($R$2:$R$116,"&gt;"&amp;R74))</f>
        <v>12</v>
      </c>
      <c r="T74" s="7" t="str">
        <f>IF(Table_3e_trimestre_H[[#This Row],[Moyenne]]&gt;5,"Validé","Non Validé")</f>
        <v>Validé</v>
      </c>
    </row>
    <row r="75" spans="1:20" s="3" customFormat="1" ht="20.25">
      <c r="A75" s="18">
        <v>74</v>
      </c>
      <c r="B75" s="15" t="s">
        <v>78</v>
      </c>
      <c r="C75" s="18" t="s">
        <v>20</v>
      </c>
      <c r="D75" s="18">
        <v>8</v>
      </c>
      <c r="E75" s="18">
        <v>2</v>
      </c>
      <c r="F75" s="19">
        <v>10</v>
      </c>
      <c r="G75" s="19">
        <v>10</v>
      </c>
      <c r="H75" s="19">
        <v>9</v>
      </c>
      <c r="I75" s="19">
        <v>10</v>
      </c>
      <c r="J75" s="19">
        <v>10</v>
      </c>
      <c r="K75" s="19">
        <v>10</v>
      </c>
      <c r="L75" s="19">
        <v>10</v>
      </c>
      <c r="M75" s="19">
        <v>8</v>
      </c>
      <c r="N75" s="19">
        <v>10</v>
      </c>
      <c r="O75" s="19">
        <v>10</v>
      </c>
      <c r="P75" s="19">
        <v>10</v>
      </c>
      <c r="Q75" s="19">
        <f>IF(COUNTA(F75:P75)=0,"",SUM(F75:P75))</f>
        <v>107</v>
      </c>
      <c r="R75" s="20">
        <f>IF(Q75="","",Q75/11)</f>
        <v>9.7272727272727266</v>
      </c>
      <c r="S75" s="18">
        <f>IF(R75="","",1+COUNTIF($R$2:$R$116,"&gt;"&amp;R75))</f>
        <v>1</v>
      </c>
      <c r="T75" s="18" t="str">
        <f>IF(Table_3e_trimestre_H[[#This Row],[Moyenne]]&gt;5,"Validé","Non Validé")</f>
        <v>Validé</v>
      </c>
    </row>
    <row r="76" spans="1:20" s="3" customFormat="1" ht="20.25">
      <c r="A76" s="18">
        <v>75</v>
      </c>
      <c r="B76" s="15" t="s">
        <v>79</v>
      </c>
      <c r="C76" s="18" t="s">
        <v>20</v>
      </c>
      <c r="D76" s="18">
        <v>8</v>
      </c>
      <c r="E76" s="18">
        <v>2</v>
      </c>
      <c r="F76" s="19">
        <v>10</v>
      </c>
      <c r="G76" s="19">
        <v>10</v>
      </c>
      <c r="H76" s="19">
        <v>10</v>
      </c>
      <c r="I76" s="19">
        <v>10</v>
      </c>
      <c r="J76" s="19">
        <v>9</v>
      </c>
      <c r="K76" s="19">
        <v>10</v>
      </c>
      <c r="L76" s="19">
        <v>9</v>
      </c>
      <c r="M76" s="19">
        <v>7</v>
      </c>
      <c r="N76" s="19">
        <v>10</v>
      </c>
      <c r="O76" s="19">
        <v>10</v>
      </c>
      <c r="P76" s="19">
        <v>10</v>
      </c>
      <c r="Q76" s="19">
        <f>IF(COUNTA(F76:P76)=0,"",SUM(F76:P76))</f>
        <v>105</v>
      </c>
      <c r="R76" s="20">
        <f>IF(Q76="","",Q76/11)</f>
        <v>9.545454545454545</v>
      </c>
      <c r="S76" s="18">
        <f>IF(R76="","",1+COUNTIF($R$2:$R$116,"&gt;"&amp;R76))</f>
        <v>3</v>
      </c>
      <c r="T76" s="18" t="str">
        <f>IF(Table_3e_trimestre_H[[#This Row],[Moyenne]]&gt;5,"Validé","Non Validé")</f>
        <v>Validé</v>
      </c>
    </row>
    <row r="77" spans="1:20" ht="20.25">
      <c r="A77" s="7">
        <v>76</v>
      </c>
      <c r="B77" s="8" t="s">
        <v>80</v>
      </c>
      <c r="C77" s="7" t="s">
        <v>18</v>
      </c>
      <c r="D77" s="7">
        <v>8</v>
      </c>
      <c r="E77" s="7">
        <v>2</v>
      </c>
      <c r="F77" s="9">
        <v>10</v>
      </c>
      <c r="G77" s="9">
        <v>10</v>
      </c>
      <c r="H77" s="9">
        <v>9</v>
      </c>
      <c r="I77" s="9">
        <v>9</v>
      </c>
      <c r="J77" s="9">
        <v>10</v>
      </c>
      <c r="K77" s="9">
        <v>10</v>
      </c>
      <c r="L77" s="9">
        <v>8</v>
      </c>
      <c r="M77" s="9">
        <v>8</v>
      </c>
      <c r="N77" s="9">
        <v>10</v>
      </c>
      <c r="O77" s="9">
        <v>10</v>
      </c>
      <c r="P77" s="9">
        <v>10</v>
      </c>
      <c r="Q77" s="9">
        <f>IF(COUNTA(F77:P77)=0,"",SUM(F77:P77))</f>
        <v>104</v>
      </c>
      <c r="R77" s="10">
        <f>IF(Q77="","",Q77/11)</f>
        <v>9.454545454545455</v>
      </c>
      <c r="S77" s="7">
        <f>IF(R77="","",1+COUNTIF($R$2:$R$116,"&gt;"&amp;R77))</f>
        <v>6</v>
      </c>
      <c r="T77" s="7" t="str">
        <f>IF(Table_3e_trimestre_H[[#This Row],[Moyenne]]&gt;5,"Validé","Non Validé")</f>
        <v>Validé</v>
      </c>
    </row>
    <row r="78" spans="1:20" s="3" customFormat="1" ht="20.25">
      <c r="A78" s="18">
        <v>77</v>
      </c>
      <c r="B78" s="15" t="s">
        <v>81</v>
      </c>
      <c r="C78" s="18" t="s">
        <v>20</v>
      </c>
      <c r="D78" s="18">
        <v>8</v>
      </c>
      <c r="E78" s="18">
        <v>2</v>
      </c>
      <c r="F78" s="19">
        <v>8</v>
      </c>
      <c r="G78" s="19">
        <v>8</v>
      </c>
      <c r="H78" s="19">
        <v>9</v>
      </c>
      <c r="I78" s="19">
        <v>8</v>
      </c>
      <c r="J78" s="19">
        <v>7</v>
      </c>
      <c r="K78" s="19">
        <v>9</v>
      </c>
      <c r="L78" s="19">
        <v>4</v>
      </c>
      <c r="M78" s="19">
        <v>5</v>
      </c>
      <c r="N78" s="19">
        <v>3</v>
      </c>
      <c r="O78" s="19">
        <v>10</v>
      </c>
      <c r="P78" s="19">
        <v>8</v>
      </c>
      <c r="Q78" s="19">
        <f>IF(COUNTA(F78:P78)=0,"",SUM(F78:P78))</f>
        <v>79</v>
      </c>
      <c r="R78" s="20">
        <f>IF(Q78="","",Q78/11)</f>
        <v>7.1818181818181817</v>
      </c>
      <c r="S78" s="18">
        <f>IF(R78="","",1+COUNTIF($R$2:$R$116,"&gt;"&amp;R78))</f>
        <v>59</v>
      </c>
      <c r="T78" s="18" t="str">
        <f>IF(Table_3e_trimestre_H[[#This Row],[Moyenne]]&gt;5,"Validé","Non Validé")</f>
        <v>Validé</v>
      </c>
    </row>
    <row r="79" spans="1:20" ht="20.25">
      <c r="A79" s="7">
        <v>78</v>
      </c>
      <c r="B79" s="8" t="s">
        <v>82</v>
      </c>
      <c r="C79" s="7" t="s">
        <v>18</v>
      </c>
      <c r="D79" s="7">
        <v>8</v>
      </c>
      <c r="E79" s="7">
        <v>2</v>
      </c>
      <c r="F79" s="9">
        <v>10</v>
      </c>
      <c r="G79" s="9">
        <v>10</v>
      </c>
      <c r="H79" s="9">
        <v>8</v>
      </c>
      <c r="I79" s="9">
        <v>6</v>
      </c>
      <c r="J79" s="9">
        <v>10</v>
      </c>
      <c r="K79" s="9">
        <v>9</v>
      </c>
      <c r="L79" s="9">
        <v>2</v>
      </c>
      <c r="M79" s="9">
        <v>5</v>
      </c>
      <c r="N79" s="9">
        <v>4</v>
      </c>
      <c r="O79" s="9">
        <v>9</v>
      </c>
      <c r="P79" s="9">
        <v>8</v>
      </c>
      <c r="Q79" s="9">
        <f>IF(COUNTA(F79:P79)=0,"",SUM(F79:P79))</f>
        <v>81</v>
      </c>
      <c r="R79" s="10">
        <f>IF(Q79="","",Q79/11)</f>
        <v>7.3636363636363633</v>
      </c>
      <c r="S79" s="7">
        <f>IF(R79="","",1+COUNTIF($R$2:$R$116,"&gt;"&amp;R79))</f>
        <v>53</v>
      </c>
      <c r="T79" s="7" t="str">
        <f>IF(Table_3e_trimestre_H[[#This Row],[Moyenne]]&gt;5,"Validé","Non Validé")</f>
        <v>Validé</v>
      </c>
    </row>
    <row r="80" spans="1:20" s="3" customFormat="1" ht="20.25">
      <c r="A80" s="18">
        <v>79</v>
      </c>
      <c r="B80" s="15" t="s">
        <v>83</v>
      </c>
      <c r="C80" s="18" t="s">
        <v>20</v>
      </c>
      <c r="D80" s="18">
        <v>8</v>
      </c>
      <c r="E80" s="18">
        <v>2</v>
      </c>
      <c r="F80" s="19">
        <v>10</v>
      </c>
      <c r="G80" s="19">
        <v>10</v>
      </c>
      <c r="H80" s="19">
        <v>9</v>
      </c>
      <c r="I80" s="19">
        <v>9</v>
      </c>
      <c r="J80" s="19">
        <v>10</v>
      </c>
      <c r="K80" s="19">
        <v>8</v>
      </c>
      <c r="L80" s="19">
        <v>5</v>
      </c>
      <c r="M80" s="19">
        <v>5</v>
      </c>
      <c r="N80" s="19">
        <v>6</v>
      </c>
      <c r="O80" s="19">
        <v>10</v>
      </c>
      <c r="P80" s="19">
        <v>10</v>
      </c>
      <c r="Q80" s="19">
        <f>IF(COUNTA(F80:P80)=0,"",SUM(F80:P80))</f>
        <v>92</v>
      </c>
      <c r="R80" s="20">
        <f>IF(Q80="","",Q80/11)</f>
        <v>8.3636363636363633</v>
      </c>
      <c r="S80" s="18">
        <f>IF(R80="","",1+COUNTIF($R$2:$R$116,"&gt;"&amp;R80))</f>
        <v>24</v>
      </c>
      <c r="T80" s="18" t="str">
        <f>IF(Table_3e_trimestre_H[[#This Row],[Moyenne]]&gt;5,"Validé","Non Validé")</f>
        <v>Validé</v>
      </c>
    </row>
    <row r="81" spans="1:20" s="3" customFormat="1" ht="20.25">
      <c r="A81" s="18">
        <v>80</v>
      </c>
      <c r="B81" s="15" t="s">
        <v>84</v>
      </c>
      <c r="C81" s="18" t="s">
        <v>20</v>
      </c>
      <c r="D81" s="18">
        <v>8</v>
      </c>
      <c r="E81" s="18">
        <v>2</v>
      </c>
      <c r="F81" s="19">
        <v>9</v>
      </c>
      <c r="G81" s="19">
        <v>10</v>
      </c>
      <c r="H81" s="19">
        <v>9</v>
      </c>
      <c r="I81" s="19">
        <v>7</v>
      </c>
      <c r="J81" s="19">
        <v>8</v>
      </c>
      <c r="K81" s="19">
        <v>4</v>
      </c>
      <c r="L81" s="19">
        <v>3</v>
      </c>
      <c r="M81" s="19">
        <v>6</v>
      </c>
      <c r="N81" s="19">
        <v>3</v>
      </c>
      <c r="O81" s="19">
        <v>10</v>
      </c>
      <c r="P81" s="19">
        <v>10</v>
      </c>
      <c r="Q81" s="19">
        <f>IF(COUNTA(F81:P81)=0,"",SUM(F81:P81))</f>
        <v>79</v>
      </c>
      <c r="R81" s="20">
        <f>IF(Q81="","",Q81/11)</f>
        <v>7.1818181818181817</v>
      </c>
      <c r="S81" s="18">
        <f>IF(R81="","",1+COUNTIF($R$2:$R$116,"&gt;"&amp;R81))</f>
        <v>59</v>
      </c>
      <c r="T81" s="18" t="str">
        <f>IF(Table_3e_trimestre_H[[#This Row],[Moyenne]]&gt;5,"Validé","Non Validé")</f>
        <v>Validé</v>
      </c>
    </row>
    <row r="82" spans="1:20" ht="20.25">
      <c r="A82" s="7">
        <v>81</v>
      </c>
      <c r="B82" s="8" t="s">
        <v>85</v>
      </c>
      <c r="C82" s="7" t="s">
        <v>18</v>
      </c>
      <c r="D82" s="7">
        <v>8</v>
      </c>
      <c r="E82" s="7">
        <v>2</v>
      </c>
      <c r="F82" s="9">
        <v>10</v>
      </c>
      <c r="G82" s="9">
        <v>10</v>
      </c>
      <c r="H82" s="9">
        <v>8</v>
      </c>
      <c r="I82" s="9">
        <v>10</v>
      </c>
      <c r="J82" s="9">
        <v>8</v>
      </c>
      <c r="K82" s="9">
        <v>8</v>
      </c>
      <c r="L82" s="9">
        <v>9</v>
      </c>
      <c r="M82" s="9">
        <v>8</v>
      </c>
      <c r="N82" s="9">
        <v>10</v>
      </c>
      <c r="O82" s="9">
        <v>10</v>
      </c>
      <c r="P82" s="9">
        <v>6</v>
      </c>
      <c r="Q82" s="9">
        <f>IF(COUNTA(F82:P82)=0,"",SUM(F82:P82))</f>
        <v>97</v>
      </c>
      <c r="R82" s="10">
        <f>IF(Q82="","",Q82/11)</f>
        <v>8.8181818181818183</v>
      </c>
      <c r="S82" s="7">
        <f>IF(R82="","",1+COUNTIF($R$2:$R$116,"&gt;"&amp;R82))</f>
        <v>14</v>
      </c>
      <c r="T82" s="7" t="str">
        <f>IF(Table_3e_trimestre_H[[#This Row],[Moyenne]]&gt;5,"Validé","Non Validé")</f>
        <v>Validé</v>
      </c>
    </row>
    <row r="83" spans="1:20" ht="20.25">
      <c r="A83" s="7">
        <v>82</v>
      </c>
      <c r="B83" s="8" t="s">
        <v>86</v>
      </c>
      <c r="C83" s="7" t="s">
        <v>18</v>
      </c>
      <c r="D83" s="7">
        <v>8</v>
      </c>
      <c r="E83" s="7">
        <v>2</v>
      </c>
      <c r="F83" s="9">
        <v>10</v>
      </c>
      <c r="G83" s="9">
        <v>8</v>
      </c>
      <c r="H83" s="9">
        <v>9</v>
      </c>
      <c r="I83" s="9">
        <v>10</v>
      </c>
      <c r="J83" s="9">
        <v>7</v>
      </c>
      <c r="K83" s="9">
        <v>8</v>
      </c>
      <c r="L83" s="9">
        <v>5</v>
      </c>
      <c r="M83" s="9">
        <v>8</v>
      </c>
      <c r="N83" s="9">
        <v>9</v>
      </c>
      <c r="O83" s="9">
        <v>10</v>
      </c>
      <c r="P83" s="9">
        <v>10</v>
      </c>
      <c r="Q83" s="9">
        <f>IF(COUNTA(F83:P83)=0,"",SUM(F83:P83))</f>
        <v>94</v>
      </c>
      <c r="R83" s="10">
        <f>IF(Q83="","",Q83/11)</f>
        <v>8.545454545454545</v>
      </c>
      <c r="S83" s="7">
        <f>IF(R83="","",1+COUNTIF($R$2:$R$116,"&gt;"&amp;R83))</f>
        <v>22</v>
      </c>
      <c r="T83" s="7" t="str">
        <f>IF(Table_3e_trimestre_H[[#This Row],[Moyenne]]&gt;5,"Validé","Non Validé")</f>
        <v>Validé</v>
      </c>
    </row>
    <row r="84" spans="1:20" s="3" customFormat="1" ht="20.25">
      <c r="A84" s="18">
        <v>83</v>
      </c>
      <c r="B84" s="15" t="s">
        <v>87</v>
      </c>
      <c r="C84" s="18" t="s">
        <v>20</v>
      </c>
      <c r="D84" s="18">
        <v>8</v>
      </c>
      <c r="E84" s="18">
        <v>2</v>
      </c>
      <c r="F84" s="19">
        <v>8</v>
      </c>
      <c r="G84" s="19">
        <v>10</v>
      </c>
      <c r="H84" s="19">
        <v>8</v>
      </c>
      <c r="I84" s="19">
        <v>4</v>
      </c>
      <c r="J84" s="19">
        <v>6</v>
      </c>
      <c r="K84" s="19">
        <v>9</v>
      </c>
      <c r="L84" s="19">
        <v>0</v>
      </c>
      <c r="M84" s="19">
        <v>4</v>
      </c>
      <c r="N84" s="19">
        <v>1</v>
      </c>
      <c r="O84" s="19">
        <v>10</v>
      </c>
      <c r="P84" s="19">
        <v>6</v>
      </c>
      <c r="Q84" s="19">
        <f>IF(COUNTA(F84:P84)=0,"",SUM(F84:P84))</f>
        <v>66</v>
      </c>
      <c r="R84" s="20">
        <f>IF(Q84="","",Q84/11)</f>
        <v>6</v>
      </c>
      <c r="S84" s="18">
        <f>IF(R84="","",1+COUNTIF($R$2:$R$116,"&gt;"&amp;R84))</f>
        <v>99</v>
      </c>
      <c r="T84" s="18" t="str">
        <f>IF(Table_3e_trimestre_H[[#This Row],[Moyenne]]&gt;5,"Validé","Non Validé")</f>
        <v>Validé</v>
      </c>
    </row>
    <row r="85" spans="1:20" s="3" customFormat="1" ht="40.5">
      <c r="A85" s="18">
        <v>84</v>
      </c>
      <c r="B85" s="15" t="s">
        <v>88</v>
      </c>
      <c r="C85" s="18" t="s">
        <v>20</v>
      </c>
      <c r="D85" s="18">
        <v>8</v>
      </c>
      <c r="E85" s="18">
        <v>2</v>
      </c>
      <c r="F85" s="19">
        <v>8</v>
      </c>
      <c r="G85" s="19">
        <v>10</v>
      </c>
      <c r="H85" s="19">
        <v>9</v>
      </c>
      <c r="I85" s="19">
        <v>6</v>
      </c>
      <c r="J85" s="19">
        <v>6</v>
      </c>
      <c r="K85" s="19">
        <v>6</v>
      </c>
      <c r="L85" s="19">
        <v>0</v>
      </c>
      <c r="M85" s="19">
        <v>6</v>
      </c>
      <c r="N85" s="19">
        <v>6</v>
      </c>
      <c r="O85" s="19">
        <v>10</v>
      </c>
      <c r="P85" s="19">
        <v>10</v>
      </c>
      <c r="Q85" s="19">
        <f>IF(COUNTA(F85:P85)=0,"",SUM(F85:P85))</f>
        <v>77</v>
      </c>
      <c r="R85" s="20">
        <f>IF(Q85="","",Q85/11)</f>
        <v>7</v>
      </c>
      <c r="S85" s="18">
        <f>IF(R85="","",1+COUNTIF($R$2:$R$116,"&gt;"&amp;R85))</f>
        <v>68</v>
      </c>
      <c r="T85" s="18" t="str">
        <f>IF(Table_3e_trimestre_H[[#This Row],[Moyenne]]&gt;5,"Validé","Non Validé")</f>
        <v>Validé</v>
      </c>
    </row>
    <row r="86" spans="1:20" ht="20.25">
      <c r="A86" s="7">
        <v>85</v>
      </c>
      <c r="B86" s="8" t="s">
        <v>89</v>
      </c>
      <c r="C86" s="7" t="s">
        <v>18</v>
      </c>
      <c r="D86" s="7">
        <v>8</v>
      </c>
      <c r="E86" s="7">
        <v>2</v>
      </c>
      <c r="F86" s="9">
        <v>9</v>
      </c>
      <c r="G86" s="9">
        <v>6</v>
      </c>
      <c r="H86" s="9">
        <v>8</v>
      </c>
      <c r="I86" s="9">
        <v>6</v>
      </c>
      <c r="J86" s="9">
        <v>8</v>
      </c>
      <c r="K86" s="9">
        <v>7</v>
      </c>
      <c r="L86" s="9">
        <v>4</v>
      </c>
      <c r="M86" s="9">
        <v>6</v>
      </c>
      <c r="N86" s="9">
        <v>7</v>
      </c>
      <c r="O86" s="9">
        <v>10</v>
      </c>
      <c r="P86" s="9">
        <v>10</v>
      </c>
      <c r="Q86" s="9">
        <f>IF(COUNTA(F86:P86)=0,"",SUM(F86:P86))</f>
        <v>81</v>
      </c>
      <c r="R86" s="10">
        <f>IF(Q86="","",Q86/11)</f>
        <v>7.3636363636363633</v>
      </c>
      <c r="S86" s="7">
        <f>IF(R86="","",1+COUNTIF($R$2:$R$116,"&gt;"&amp;R86))</f>
        <v>53</v>
      </c>
      <c r="T86" s="7" t="str">
        <f>IF(Table_3e_trimestre_H[[#This Row],[Moyenne]]&gt;5,"Validé","Non Validé")</f>
        <v>Validé</v>
      </c>
    </row>
    <row r="87" spans="1:20" ht="20.25">
      <c r="A87" s="7">
        <v>86</v>
      </c>
      <c r="B87" s="8" t="s">
        <v>90</v>
      </c>
      <c r="C87" s="7" t="s">
        <v>18</v>
      </c>
      <c r="D87" s="7">
        <v>8</v>
      </c>
      <c r="E87" s="7">
        <v>2</v>
      </c>
      <c r="F87" s="9">
        <v>7</v>
      </c>
      <c r="G87" s="9">
        <v>10</v>
      </c>
      <c r="H87" s="9">
        <v>8</v>
      </c>
      <c r="I87" s="9">
        <v>6</v>
      </c>
      <c r="J87" s="9">
        <v>7</v>
      </c>
      <c r="K87" s="9">
        <v>7</v>
      </c>
      <c r="L87" s="9">
        <v>3</v>
      </c>
      <c r="M87" s="9">
        <v>7</v>
      </c>
      <c r="N87" s="9">
        <v>4</v>
      </c>
      <c r="O87" s="9">
        <v>10</v>
      </c>
      <c r="P87" s="9">
        <v>8</v>
      </c>
      <c r="Q87" s="9">
        <f>IF(COUNTA(F87:P87)=0,"",SUM(F87:P87))</f>
        <v>77</v>
      </c>
      <c r="R87" s="10">
        <f>IF(Q87="","",Q87/11)</f>
        <v>7</v>
      </c>
      <c r="S87" s="7">
        <f>IF(R87="","",1+COUNTIF($R$2:$R$116,"&gt;"&amp;R87))</f>
        <v>68</v>
      </c>
      <c r="T87" s="7" t="str">
        <f>IF(Table_3e_trimestre_H[[#This Row],[Moyenne]]&gt;5,"Validé","Non Validé")</f>
        <v>Validé</v>
      </c>
    </row>
    <row r="88" spans="1:20" ht="20.25">
      <c r="A88" s="7">
        <v>87</v>
      </c>
      <c r="B88" s="8" t="s">
        <v>91</v>
      </c>
      <c r="C88" s="7" t="s">
        <v>18</v>
      </c>
      <c r="D88" s="7">
        <v>8</v>
      </c>
      <c r="E88" s="7">
        <v>2</v>
      </c>
      <c r="F88" s="9">
        <v>9</v>
      </c>
      <c r="G88" s="9">
        <v>10</v>
      </c>
      <c r="H88" s="9">
        <v>8</v>
      </c>
      <c r="I88" s="9">
        <v>6</v>
      </c>
      <c r="J88" s="9">
        <v>7</v>
      </c>
      <c r="K88" s="9">
        <v>6</v>
      </c>
      <c r="L88" s="9">
        <v>2</v>
      </c>
      <c r="M88" s="9">
        <v>8</v>
      </c>
      <c r="N88" s="9">
        <v>3</v>
      </c>
      <c r="O88" s="9">
        <v>10</v>
      </c>
      <c r="P88" s="9">
        <v>10</v>
      </c>
      <c r="Q88" s="9">
        <f>IF(COUNTA(F88:P88)=0,"",SUM(F88:P88))</f>
        <v>79</v>
      </c>
      <c r="R88" s="10">
        <f>IF(Q88="","",Q88/11)</f>
        <v>7.1818181818181817</v>
      </c>
      <c r="S88" s="7">
        <f>IF(R88="","",1+COUNTIF($R$2:$R$116,"&gt;"&amp;R88))</f>
        <v>59</v>
      </c>
      <c r="T88" s="7" t="str">
        <f>IF(Table_3e_trimestre_H[[#This Row],[Moyenne]]&gt;5,"Validé","Non Validé")</f>
        <v>Validé</v>
      </c>
    </row>
    <row r="89" spans="1:20" ht="19.5" customHeight="1">
      <c r="A89" s="7">
        <v>88</v>
      </c>
      <c r="B89" s="8" t="s">
        <v>125</v>
      </c>
      <c r="C89" s="7" t="s">
        <v>18</v>
      </c>
      <c r="D89" s="7">
        <v>8</v>
      </c>
      <c r="E89" s="7">
        <v>2</v>
      </c>
      <c r="F89" s="9">
        <v>8</v>
      </c>
      <c r="G89" s="9">
        <v>10</v>
      </c>
      <c r="H89" s="9">
        <v>8</v>
      </c>
      <c r="I89" s="9">
        <v>8</v>
      </c>
      <c r="J89" s="9">
        <v>8</v>
      </c>
      <c r="K89" s="9">
        <v>9</v>
      </c>
      <c r="L89" s="9">
        <v>0</v>
      </c>
      <c r="M89" s="9">
        <v>8</v>
      </c>
      <c r="N89" s="9">
        <v>6</v>
      </c>
      <c r="O89" s="9">
        <v>10</v>
      </c>
      <c r="P89" s="9">
        <v>8</v>
      </c>
      <c r="Q89" s="9">
        <f>IF(COUNTA(F89:P89)=0,"",SUM(F89:P89))</f>
        <v>83</v>
      </c>
      <c r="R89" s="10">
        <f>IF(Q89="","",Q89/11)</f>
        <v>7.5454545454545459</v>
      </c>
      <c r="S89" s="7">
        <f>IF(R89="","",1+COUNTIF($R$2:$R$116,"&gt;"&amp;R89))</f>
        <v>48</v>
      </c>
      <c r="T89" s="7" t="str">
        <f>IF(Table_3e_trimestre_H[[#This Row],[Moyenne]]&gt;5,"Validé","Non Validé")</f>
        <v>Validé</v>
      </c>
    </row>
    <row r="90" spans="1:20" ht="20.25">
      <c r="A90" s="7">
        <v>89</v>
      </c>
      <c r="B90" s="8" t="s">
        <v>92</v>
      </c>
      <c r="C90" s="7" t="s">
        <v>18</v>
      </c>
      <c r="D90" s="7">
        <v>8</v>
      </c>
      <c r="E90" s="7">
        <v>2</v>
      </c>
      <c r="F90" s="9">
        <v>9</v>
      </c>
      <c r="G90" s="9">
        <v>10</v>
      </c>
      <c r="H90" s="9">
        <v>8</v>
      </c>
      <c r="I90" s="9">
        <v>10</v>
      </c>
      <c r="J90" s="9">
        <v>7</v>
      </c>
      <c r="K90" s="9">
        <v>8</v>
      </c>
      <c r="L90" s="9">
        <v>2</v>
      </c>
      <c r="M90" s="9">
        <v>6</v>
      </c>
      <c r="N90" s="9">
        <v>7</v>
      </c>
      <c r="O90" s="9">
        <v>10</v>
      </c>
      <c r="P90" s="9">
        <v>2</v>
      </c>
      <c r="Q90" s="9">
        <f>IF(COUNTA(F90:P90)=0,"",SUM(F90:P90))</f>
        <v>79</v>
      </c>
      <c r="R90" s="10">
        <f>IF(Q90="","",Q90/11)</f>
        <v>7.1818181818181817</v>
      </c>
      <c r="S90" s="7">
        <f>IF(R90="","",1+COUNTIF($R$2:$R$116,"&gt;"&amp;R90))</f>
        <v>59</v>
      </c>
      <c r="T90" s="7" t="str">
        <f>IF(Table_3e_trimestre_H[[#This Row],[Moyenne]]&gt;5,"Validé","Non Validé")</f>
        <v>Validé</v>
      </c>
    </row>
    <row r="91" spans="1:20" ht="20.25">
      <c r="A91" s="7">
        <v>90</v>
      </c>
      <c r="B91" s="8" t="s">
        <v>93</v>
      </c>
      <c r="C91" s="7" t="s">
        <v>18</v>
      </c>
      <c r="D91" s="7">
        <v>8</v>
      </c>
      <c r="E91" s="7">
        <v>2</v>
      </c>
      <c r="F91" s="9">
        <v>7</v>
      </c>
      <c r="G91" s="9">
        <v>6</v>
      </c>
      <c r="H91" s="9">
        <v>10</v>
      </c>
      <c r="I91" s="9">
        <v>4</v>
      </c>
      <c r="J91" s="9">
        <v>6</v>
      </c>
      <c r="K91" s="9">
        <v>9</v>
      </c>
      <c r="L91" s="9">
        <v>3</v>
      </c>
      <c r="M91" s="9">
        <v>5</v>
      </c>
      <c r="N91" s="9">
        <v>5</v>
      </c>
      <c r="O91" s="9">
        <v>10</v>
      </c>
      <c r="P91" s="9">
        <v>6</v>
      </c>
      <c r="Q91" s="9">
        <f>IF(COUNTA(F91:P91)=0,"",SUM(F91:P91))</f>
        <v>71</v>
      </c>
      <c r="R91" s="10">
        <f>IF(Q91="","",Q91/11)</f>
        <v>6.4545454545454541</v>
      </c>
      <c r="S91" s="7">
        <f>IF(R91="","",1+COUNTIF($R$2:$R$116,"&gt;"&amp;R91))</f>
        <v>85</v>
      </c>
      <c r="T91" s="7" t="str">
        <f>IF(Table_3e_trimestre_H[[#This Row],[Moyenne]]&gt;5,"Validé","Non Validé")</f>
        <v>Validé</v>
      </c>
    </row>
    <row r="92" spans="1:20" ht="20.25">
      <c r="A92" s="7">
        <v>91</v>
      </c>
      <c r="B92" s="8" t="s">
        <v>94</v>
      </c>
      <c r="C92" s="7" t="s">
        <v>18</v>
      </c>
      <c r="D92" s="7">
        <v>8</v>
      </c>
      <c r="E92" s="7">
        <v>2</v>
      </c>
      <c r="F92" s="9">
        <v>10</v>
      </c>
      <c r="G92" s="9">
        <v>10</v>
      </c>
      <c r="H92" s="9">
        <v>8</v>
      </c>
      <c r="I92" s="9">
        <v>7</v>
      </c>
      <c r="J92" s="9">
        <v>8</v>
      </c>
      <c r="K92" s="9">
        <v>10</v>
      </c>
      <c r="L92" s="9">
        <v>8</v>
      </c>
      <c r="M92" s="9">
        <v>8</v>
      </c>
      <c r="N92" s="9">
        <v>10</v>
      </c>
      <c r="O92" s="9">
        <v>8</v>
      </c>
      <c r="P92" s="9">
        <v>10</v>
      </c>
      <c r="Q92" s="9">
        <f>IF(COUNTA(F92:P92)=0,"",SUM(F92:P92))</f>
        <v>97</v>
      </c>
      <c r="R92" s="10">
        <f>IF(Q92="","",Q92/11)</f>
        <v>8.8181818181818183</v>
      </c>
      <c r="S92" s="7">
        <f>IF(R92="","",1+COUNTIF($R$2:$R$116,"&gt;"&amp;R92))</f>
        <v>14</v>
      </c>
      <c r="T92" s="7" t="str">
        <f>IF(Table_3e_trimestre_H[[#This Row],[Moyenne]]&gt;5,"Validé","Non Validé")</f>
        <v>Validé</v>
      </c>
    </row>
    <row r="93" spans="1:20" ht="20.25">
      <c r="A93" s="7">
        <v>92</v>
      </c>
      <c r="B93" s="8" t="s">
        <v>126</v>
      </c>
      <c r="C93" s="7" t="s">
        <v>18</v>
      </c>
      <c r="D93" s="7">
        <v>8</v>
      </c>
      <c r="E93" s="7">
        <v>2</v>
      </c>
      <c r="F93" s="9">
        <v>8</v>
      </c>
      <c r="G93" s="9">
        <v>10</v>
      </c>
      <c r="H93" s="9">
        <v>8</v>
      </c>
      <c r="I93" s="9">
        <v>7</v>
      </c>
      <c r="J93" s="9">
        <v>7</v>
      </c>
      <c r="K93" s="9">
        <v>10</v>
      </c>
      <c r="L93" s="9">
        <v>2</v>
      </c>
      <c r="M93" s="9">
        <v>7</v>
      </c>
      <c r="N93" s="9">
        <v>7</v>
      </c>
      <c r="O93" s="9">
        <v>10</v>
      </c>
      <c r="P93" s="9">
        <v>9</v>
      </c>
      <c r="Q93" s="9">
        <f>IF(COUNTA(F93:P93)=0,"",SUM(F93:P93))</f>
        <v>85</v>
      </c>
      <c r="R93" s="10">
        <f>IF(Q93="","",Q93/11)</f>
        <v>7.7272727272727275</v>
      </c>
      <c r="S93" s="7">
        <f>IF(R93="","",1+COUNTIF($R$2:$R$116,"&gt;"&amp;R93))</f>
        <v>43</v>
      </c>
      <c r="T93" s="7" t="str">
        <f>IF(Table_3e_trimestre_H[[#This Row],[Moyenne]]&gt;5,"Validé","Non Validé")</f>
        <v>Validé</v>
      </c>
    </row>
    <row r="94" spans="1:20" s="3" customFormat="1" ht="20.25">
      <c r="A94" s="18">
        <v>93</v>
      </c>
      <c r="B94" s="15" t="s">
        <v>95</v>
      </c>
      <c r="C94" s="18" t="s">
        <v>20</v>
      </c>
      <c r="D94" s="18">
        <v>8</v>
      </c>
      <c r="E94" s="18">
        <v>2</v>
      </c>
      <c r="F94" s="19">
        <v>8</v>
      </c>
      <c r="G94" s="19">
        <v>10</v>
      </c>
      <c r="H94" s="19">
        <v>9</v>
      </c>
      <c r="I94" s="19">
        <v>8</v>
      </c>
      <c r="J94" s="19">
        <v>7</v>
      </c>
      <c r="K94" s="19">
        <v>7</v>
      </c>
      <c r="L94" s="19">
        <v>5</v>
      </c>
      <c r="M94" s="19">
        <v>6</v>
      </c>
      <c r="N94" s="19">
        <v>8</v>
      </c>
      <c r="O94" s="19">
        <v>10</v>
      </c>
      <c r="P94" s="19">
        <v>8</v>
      </c>
      <c r="Q94" s="19">
        <f>IF(COUNTA(F94:P94)=0,"",SUM(F94:P94))</f>
        <v>86</v>
      </c>
      <c r="R94" s="20">
        <f>IF(Q94="","",Q94/11)</f>
        <v>7.8181818181818183</v>
      </c>
      <c r="S94" s="18">
        <f>IF(R94="","",1+COUNTIF($R$2:$R$116,"&gt;"&amp;R94))</f>
        <v>39</v>
      </c>
      <c r="T94" s="18" t="str">
        <f>IF(Table_3e_trimestre_H[[#This Row],[Moyenne]]&gt;5,"Validé","Non Validé")</f>
        <v>Validé</v>
      </c>
    </row>
    <row r="95" spans="1:20" s="3" customFormat="1" ht="20.25">
      <c r="A95" s="18">
        <v>94</v>
      </c>
      <c r="B95" s="15" t="s">
        <v>96</v>
      </c>
      <c r="C95" s="18" t="s">
        <v>20</v>
      </c>
      <c r="D95" s="18">
        <v>8</v>
      </c>
      <c r="E95" s="18">
        <v>2</v>
      </c>
      <c r="F95" s="19">
        <v>7</v>
      </c>
      <c r="G95" s="19">
        <v>8</v>
      </c>
      <c r="H95" s="19">
        <v>8</v>
      </c>
      <c r="I95" s="19">
        <v>4</v>
      </c>
      <c r="J95" s="19">
        <v>10</v>
      </c>
      <c r="K95" s="19">
        <v>8</v>
      </c>
      <c r="L95" s="19">
        <v>1</v>
      </c>
      <c r="M95" s="19">
        <v>4</v>
      </c>
      <c r="N95" s="19">
        <v>2</v>
      </c>
      <c r="O95" s="19">
        <v>10</v>
      </c>
      <c r="P95" s="19">
        <v>2</v>
      </c>
      <c r="Q95" s="19">
        <f>IF(COUNTA(F95:P95)=0,"",SUM(F95:P95))</f>
        <v>64</v>
      </c>
      <c r="R95" s="20">
        <f>IF(Q95="","",Q95/11)</f>
        <v>5.8181818181818183</v>
      </c>
      <c r="S95" s="18">
        <f>IF(R95="","",1+COUNTIF($R$2:$R$116,"&gt;"&amp;R95))</f>
        <v>104</v>
      </c>
      <c r="T95" s="18" t="str">
        <f>IF(Table_3e_trimestre_H[[#This Row],[Moyenne]]&gt;5,"Validé","Non Validé")</f>
        <v>Validé</v>
      </c>
    </row>
    <row r="96" spans="1:20" s="3" customFormat="1" ht="20.25">
      <c r="A96" s="18">
        <v>95</v>
      </c>
      <c r="B96" s="15" t="s">
        <v>97</v>
      </c>
      <c r="C96" s="18" t="s">
        <v>20</v>
      </c>
      <c r="D96" s="18">
        <v>8</v>
      </c>
      <c r="E96" s="18">
        <v>2</v>
      </c>
      <c r="F96" s="19">
        <v>6</v>
      </c>
      <c r="G96" s="19">
        <v>10</v>
      </c>
      <c r="H96" s="19">
        <v>8</v>
      </c>
      <c r="I96" s="19">
        <v>4</v>
      </c>
      <c r="J96" s="19">
        <v>7</v>
      </c>
      <c r="K96" s="19">
        <v>10</v>
      </c>
      <c r="L96" s="19">
        <v>5</v>
      </c>
      <c r="M96" s="19">
        <v>7</v>
      </c>
      <c r="N96" s="19">
        <v>9</v>
      </c>
      <c r="O96" s="19">
        <v>10</v>
      </c>
      <c r="P96" s="19">
        <v>2</v>
      </c>
      <c r="Q96" s="19">
        <f>IF(COUNTA(F96:P96)=0,"",SUM(F96:P96))</f>
        <v>78</v>
      </c>
      <c r="R96" s="20">
        <f>IF(Q96="","",Q96/11)</f>
        <v>7.0909090909090908</v>
      </c>
      <c r="S96" s="18">
        <f>IF(R96="","",1+COUNTIF($R$2:$R$116,"&gt;"&amp;R96))</f>
        <v>64</v>
      </c>
      <c r="T96" s="18" t="str">
        <f>IF(Table_3e_trimestre_H[[#This Row],[Moyenne]]&gt;5,"Validé","Non Validé")</f>
        <v>Validé</v>
      </c>
    </row>
    <row r="97" spans="1:20" ht="20.25">
      <c r="A97" s="7">
        <v>96</v>
      </c>
      <c r="B97" s="8" t="s">
        <v>98</v>
      </c>
      <c r="C97" s="7" t="s">
        <v>18</v>
      </c>
      <c r="D97" s="7">
        <v>8</v>
      </c>
      <c r="E97" s="7">
        <v>2</v>
      </c>
      <c r="F97" s="9">
        <v>6</v>
      </c>
      <c r="G97" s="9">
        <v>10</v>
      </c>
      <c r="H97" s="9">
        <v>7</v>
      </c>
      <c r="I97" s="9">
        <v>6</v>
      </c>
      <c r="J97" s="9">
        <v>8</v>
      </c>
      <c r="K97" s="9">
        <v>8</v>
      </c>
      <c r="L97" s="9">
        <v>3</v>
      </c>
      <c r="M97" s="9">
        <v>5</v>
      </c>
      <c r="N97" s="9">
        <v>9</v>
      </c>
      <c r="O97" s="9">
        <v>10</v>
      </c>
      <c r="P97" s="9">
        <v>8</v>
      </c>
      <c r="Q97" s="9">
        <f>IF(COUNTA(F97:P97)=0,"",SUM(F97:P97))</f>
        <v>80</v>
      </c>
      <c r="R97" s="10">
        <f>IF(Q97="","",Q97/11)</f>
        <v>7.2727272727272725</v>
      </c>
      <c r="S97" s="7">
        <f>IF(R97="","",1+COUNTIF($R$2:$R$116,"&gt;"&amp;R97))</f>
        <v>56</v>
      </c>
      <c r="T97" s="7" t="str">
        <f>IF(Table_3e_trimestre_H[[#This Row],[Moyenne]]&gt;5,"Validé","Non Validé")</f>
        <v>Validé</v>
      </c>
    </row>
    <row r="98" spans="1:20" s="3" customFormat="1" ht="20.25">
      <c r="A98" s="18">
        <v>97</v>
      </c>
      <c r="B98" s="15" t="s">
        <v>99</v>
      </c>
      <c r="C98" s="18" t="s">
        <v>20</v>
      </c>
      <c r="D98" s="18">
        <v>9</v>
      </c>
      <c r="E98" s="18">
        <v>2</v>
      </c>
      <c r="F98" s="19">
        <v>10</v>
      </c>
      <c r="G98" s="19">
        <v>10</v>
      </c>
      <c r="H98" s="19">
        <v>8</v>
      </c>
      <c r="I98" s="19">
        <v>10</v>
      </c>
      <c r="J98" s="19">
        <v>10</v>
      </c>
      <c r="K98" s="19">
        <v>9</v>
      </c>
      <c r="L98" s="19">
        <v>4</v>
      </c>
      <c r="M98" s="19">
        <v>7</v>
      </c>
      <c r="N98" s="19">
        <v>8</v>
      </c>
      <c r="O98" s="19">
        <v>10</v>
      </c>
      <c r="P98" s="19">
        <v>9</v>
      </c>
      <c r="Q98" s="19">
        <f>IF(COUNTA(F98:P98)=0,"",SUM(F98:P98))</f>
        <v>95</v>
      </c>
      <c r="R98" s="20">
        <f>IF(Q98="","",Q98/11)</f>
        <v>8.6363636363636367</v>
      </c>
      <c r="S98" s="18">
        <f>IF(R98="","",1+COUNTIF($R$2:$R$116,"&gt;"&amp;R98))</f>
        <v>19</v>
      </c>
      <c r="T98" s="18" t="str">
        <f>IF(Table_3e_trimestre_H[[#This Row],[Moyenne]]&gt;5,"Validé","Non Validé")</f>
        <v>Validé</v>
      </c>
    </row>
    <row r="99" spans="1:20" ht="20.25">
      <c r="A99" s="7">
        <v>98</v>
      </c>
      <c r="B99" s="8" t="s">
        <v>127</v>
      </c>
      <c r="C99" s="7" t="s">
        <v>18</v>
      </c>
      <c r="D99" s="7">
        <v>8</v>
      </c>
      <c r="E99" s="7">
        <v>2</v>
      </c>
      <c r="F99" s="9">
        <v>9</v>
      </c>
      <c r="G99" s="9">
        <v>10</v>
      </c>
      <c r="H99" s="9">
        <v>7</v>
      </c>
      <c r="I99" s="9">
        <v>4</v>
      </c>
      <c r="J99" s="9">
        <v>4</v>
      </c>
      <c r="K99" s="9">
        <v>10</v>
      </c>
      <c r="L99" s="9">
        <v>0</v>
      </c>
      <c r="M99" s="9">
        <v>5</v>
      </c>
      <c r="N99" s="9">
        <v>6</v>
      </c>
      <c r="O99" s="9">
        <v>8</v>
      </c>
      <c r="P99" s="9">
        <v>8</v>
      </c>
      <c r="Q99" s="9">
        <f>IF(COUNTA(F99:P99)=0,"",SUM(F99:P99))</f>
        <v>71</v>
      </c>
      <c r="R99" s="10">
        <f>IF(Q99="","",Q99/11)</f>
        <v>6.4545454545454541</v>
      </c>
      <c r="S99" s="7">
        <f>IF(R99="","",1+COUNTIF($R$2:$R$116,"&gt;"&amp;R99))</f>
        <v>85</v>
      </c>
      <c r="T99" s="7" t="str">
        <f>IF(Table_3e_trimestre_H[[#This Row],[Moyenne]]&gt;5,"Validé","Non Validé")</f>
        <v>Validé</v>
      </c>
    </row>
    <row r="100" spans="1:20" s="3" customFormat="1" ht="20.25">
      <c r="A100" s="18">
        <v>99</v>
      </c>
      <c r="B100" s="15" t="s">
        <v>100</v>
      </c>
      <c r="C100" s="18" t="s">
        <v>20</v>
      </c>
      <c r="D100" s="18">
        <v>8</v>
      </c>
      <c r="E100" s="18">
        <v>2</v>
      </c>
      <c r="F100" s="19">
        <v>9</v>
      </c>
      <c r="G100" s="19">
        <v>10</v>
      </c>
      <c r="H100" s="19">
        <v>8</v>
      </c>
      <c r="I100" s="19">
        <v>10</v>
      </c>
      <c r="J100" s="19">
        <v>7</v>
      </c>
      <c r="K100" s="19">
        <v>8</v>
      </c>
      <c r="L100" s="19">
        <v>5</v>
      </c>
      <c r="M100" s="19">
        <v>5</v>
      </c>
      <c r="N100" s="19">
        <v>7</v>
      </c>
      <c r="O100" s="19">
        <v>8</v>
      </c>
      <c r="P100" s="19">
        <v>8</v>
      </c>
      <c r="Q100" s="19">
        <f>IF(COUNTA(F100:P100)=0,"",SUM(F100:P100))</f>
        <v>85</v>
      </c>
      <c r="R100" s="20">
        <f>IF(Q100="","",Q100/11)</f>
        <v>7.7272727272727275</v>
      </c>
      <c r="S100" s="18">
        <f>IF(R100="","",1+COUNTIF($R$2:$R$116,"&gt;"&amp;R100))</f>
        <v>43</v>
      </c>
      <c r="T100" s="18" t="str">
        <f>IF(Table_3e_trimestre_H[[#This Row],[Moyenne]]&gt;5,"Validé","Non Validé")</f>
        <v>Validé</v>
      </c>
    </row>
    <row r="101" spans="1:20" ht="20.25">
      <c r="A101" s="7">
        <v>100</v>
      </c>
      <c r="B101" s="8" t="s">
        <v>128</v>
      </c>
      <c r="C101" s="7" t="s">
        <v>18</v>
      </c>
      <c r="D101" s="7">
        <v>8</v>
      </c>
      <c r="E101" s="7">
        <v>2</v>
      </c>
      <c r="F101" s="9">
        <v>8</v>
      </c>
      <c r="G101" s="9">
        <v>10</v>
      </c>
      <c r="H101" s="9">
        <v>8</v>
      </c>
      <c r="I101" s="9">
        <v>3</v>
      </c>
      <c r="J101" s="9">
        <v>4</v>
      </c>
      <c r="K101" s="9">
        <v>10</v>
      </c>
      <c r="L101" s="9">
        <v>2</v>
      </c>
      <c r="M101" s="9">
        <v>6</v>
      </c>
      <c r="N101" s="9">
        <v>4</v>
      </c>
      <c r="O101" s="9">
        <v>9</v>
      </c>
      <c r="P101" s="9">
        <v>10</v>
      </c>
      <c r="Q101" s="9">
        <f>IF(COUNTA(F101:P101)=0,"",SUM(F101:P101))</f>
        <v>74</v>
      </c>
      <c r="R101" s="10">
        <f>IF(Q101="","",Q101/11)</f>
        <v>6.7272727272727275</v>
      </c>
      <c r="S101" s="7">
        <f>IF(R101="","",1+COUNTIF($R$2:$R$116,"&gt;"&amp;R101))</f>
        <v>78</v>
      </c>
      <c r="T101" s="7" t="str">
        <f>IF(Table_3e_trimestre_H[[#This Row],[Moyenne]]&gt;5,"Validé","Non Validé")</f>
        <v>Validé</v>
      </c>
    </row>
    <row r="102" spans="1:20" s="3" customFormat="1" ht="20.25">
      <c r="A102" s="18">
        <v>101</v>
      </c>
      <c r="B102" s="15" t="s">
        <v>129</v>
      </c>
      <c r="C102" s="18" t="s">
        <v>20</v>
      </c>
      <c r="D102" s="18">
        <v>8</v>
      </c>
      <c r="E102" s="18">
        <v>2</v>
      </c>
      <c r="F102" s="19">
        <v>7</v>
      </c>
      <c r="G102" s="19">
        <v>10</v>
      </c>
      <c r="H102" s="19">
        <v>8</v>
      </c>
      <c r="I102" s="19">
        <v>3</v>
      </c>
      <c r="J102" s="19">
        <v>7</v>
      </c>
      <c r="K102" s="19">
        <v>8</v>
      </c>
      <c r="L102" s="19">
        <v>2</v>
      </c>
      <c r="M102" s="19">
        <v>6</v>
      </c>
      <c r="N102" s="19">
        <v>4</v>
      </c>
      <c r="O102" s="19">
        <v>10</v>
      </c>
      <c r="P102" s="19">
        <v>6</v>
      </c>
      <c r="Q102" s="19">
        <f>IF(COUNTA(F102:P102)=0,"",SUM(F102:P102))</f>
        <v>71</v>
      </c>
      <c r="R102" s="20">
        <f>IF(Q102="","",Q102/11)</f>
        <v>6.4545454545454541</v>
      </c>
      <c r="S102" s="18">
        <f>IF(R102="","",1+COUNTIF($R$2:$R$116,"&gt;"&amp;R102))</f>
        <v>85</v>
      </c>
      <c r="T102" s="18" t="str">
        <f>IF(Table_3e_trimestre_H[[#This Row],[Moyenne]]&gt;5,"Validé","Non Validé")</f>
        <v>Validé</v>
      </c>
    </row>
    <row r="103" spans="1:20" s="3" customFormat="1" ht="40.5">
      <c r="A103" s="18">
        <v>102</v>
      </c>
      <c r="B103" s="15" t="s">
        <v>101</v>
      </c>
      <c r="C103" s="18" t="s">
        <v>20</v>
      </c>
      <c r="D103" s="18">
        <v>8</v>
      </c>
      <c r="E103" s="18">
        <v>2</v>
      </c>
      <c r="F103" s="19">
        <v>10</v>
      </c>
      <c r="G103" s="19">
        <v>10</v>
      </c>
      <c r="H103" s="19">
        <v>8</v>
      </c>
      <c r="I103" s="19">
        <v>6</v>
      </c>
      <c r="J103" s="19">
        <v>5</v>
      </c>
      <c r="K103" s="19">
        <v>8</v>
      </c>
      <c r="L103" s="19">
        <v>0</v>
      </c>
      <c r="M103" s="19">
        <v>6</v>
      </c>
      <c r="N103" s="19">
        <v>4</v>
      </c>
      <c r="O103" s="19">
        <v>6</v>
      </c>
      <c r="P103" s="19">
        <v>2</v>
      </c>
      <c r="Q103" s="19">
        <f>IF(COUNTA(F103:P103)=0,"",SUM(F103:P103))</f>
        <v>65</v>
      </c>
      <c r="R103" s="20">
        <f>IF(Q103="","",Q103/11)</f>
        <v>5.9090909090909092</v>
      </c>
      <c r="S103" s="18">
        <f>IF(R103="","",1+COUNTIF($R$2:$R$116,"&gt;"&amp;R103))</f>
        <v>102</v>
      </c>
      <c r="T103" s="18" t="str">
        <f>IF(Table_3e_trimestre_H[[#This Row],[Moyenne]]&gt;5,"Validé","Non Validé")</f>
        <v>Validé</v>
      </c>
    </row>
    <row r="104" spans="1:20" s="3" customFormat="1" ht="19.5" customHeight="1">
      <c r="A104" s="18">
        <v>103</v>
      </c>
      <c r="B104" s="15" t="s">
        <v>102</v>
      </c>
      <c r="C104" s="18" t="s">
        <v>20</v>
      </c>
      <c r="D104" s="18">
        <v>8</v>
      </c>
      <c r="E104" s="18">
        <v>2</v>
      </c>
      <c r="F104" s="19">
        <v>10</v>
      </c>
      <c r="G104" s="19">
        <v>10</v>
      </c>
      <c r="H104" s="19">
        <v>9</v>
      </c>
      <c r="I104" s="19">
        <v>10</v>
      </c>
      <c r="J104" s="19">
        <v>6</v>
      </c>
      <c r="K104" s="19">
        <v>9</v>
      </c>
      <c r="L104" s="19">
        <v>5</v>
      </c>
      <c r="M104" s="19">
        <v>6</v>
      </c>
      <c r="N104" s="19">
        <v>6</v>
      </c>
      <c r="O104" s="19">
        <v>10</v>
      </c>
      <c r="P104" s="19">
        <v>10</v>
      </c>
      <c r="Q104" s="19">
        <f>IF(COUNTA(F104:P104)=0,"",SUM(F104:P104))</f>
        <v>91</v>
      </c>
      <c r="R104" s="20">
        <f>IF(Q104="","",Q104/11)</f>
        <v>8.2727272727272734</v>
      </c>
      <c r="S104" s="18">
        <f>IF(R104="","",1+COUNTIF($R$2:$R$116,"&gt;"&amp;R104))</f>
        <v>30</v>
      </c>
      <c r="T104" s="18" t="str">
        <f>IF(Table_3e_trimestre_H[[#This Row],[Moyenne]]&gt;5,"Validé","Non Validé")</f>
        <v>Validé</v>
      </c>
    </row>
    <row r="105" spans="1:20" s="3" customFormat="1" ht="20.25">
      <c r="A105" s="18">
        <v>104</v>
      </c>
      <c r="B105" s="15" t="s">
        <v>103</v>
      </c>
      <c r="C105" s="18" t="s">
        <v>20</v>
      </c>
      <c r="D105" s="18">
        <v>8</v>
      </c>
      <c r="E105" s="18">
        <v>2</v>
      </c>
      <c r="F105" s="19">
        <v>9</v>
      </c>
      <c r="G105" s="19">
        <v>10</v>
      </c>
      <c r="H105" s="19">
        <v>8</v>
      </c>
      <c r="I105" s="19">
        <v>6</v>
      </c>
      <c r="J105" s="19">
        <v>6</v>
      </c>
      <c r="K105" s="19">
        <v>10</v>
      </c>
      <c r="L105" s="19">
        <v>3</v>
      </c>
      <c r="M105" s="19">
        <v>6</v>
      </c>
      <c r="N105" s="19">
        <v>5</v>
      </c>
      <c r="O105" s="19">
        <v>10</v>
      </c>
      <c r="P105" s="19">
        <v>10</v>
      </c>
      <c r="Q105" s="19">
        <f>IF(COUNTA(F105:P105)=0,"",SUM(F105:P105))</f>
        <v>83</v>
      </c>
      <c r="R105" s="20">
        <f>IF(Q105="","",Q105/11)</f>
        <v>7.5454545454545459</v>
      </c>
      <c r="S105" s="18">
        <f>IF(R105="","",1+COUNTIF($R$2:$R$116,"&gt;"&amp;R105))</f>
        <v>48</v>
      </c>
      <c r="T105" s="18" t="str">
        <f>IF(Table_3e_trimestre_H[[#This Row],[Moyenne]]&gt;5,"Validé","Non Validé")</f>
        <v>Validé</v>
      </c>
    </row>
    <row r="106" spans="1:20" s="3" customFormat="1" ht="20.25">
      <c r="A106" s="18">
        <v>105</v>
      </c>
      <c r="B106" s="15" t="s">
        <v>104</v>
      </c>
      <c r="C106" s="18" t="s">
        <v>20</v>
      </c>
      <c r="D106" s="18">
        <v>8</v>
      </c>
      <c r="E106" s="18">
        <v>2</v>
      </c>
      <c r="F106" s="19">
        <v>10</v>
      </c>
      <c r="G106" s="19">
        <v>10</v>
      </c>
      <c r="H106" s="19">
        <v>8</v>
      </c>
      <c r="I106" s="19">
        <v>10</v>
      </c>
      <c r="J106" s="19">
        <v>8</v>
      </c>
      <c r="K106" s="19">
        <v>8</v>
      </c>
      <c r="L106" s="19">
        <v>8</v>
      </c>
      <c r="M106" s="19">
        <v>8</v>
      </c>
      <c r="N106" s="19">
        <v>5</v>
      </c>
      <c r="O106" s="19">
        <v>10</v>
      </c>
      <c r="P106" s="19">
        <v>10</v>
      </c>
      <c r="Q106" s="19">
        <f>IF(COUNTA(F106:P106)=0,"",SUM(F106:P106))</f>
        <v>95</v>
      </c>
      <c r="R106" s="20">
        <f>IF(Q106="","",Q106/11)</f>
        <v>8.6363636363636367</v>
      </c>
      <c r="S106" s="18">
        <f>IF(R106="","",1+COUNTIF($R$2:$R$116,"&gt;"&amp;R106))</f>
        <v>19</v>
      </c>
      <c r="T106" s="18" t="str">
        <f>IF(Table_3e_trimestre_H[[#This Row],[Moyenne]]&gt;5,"Validé","Non Validé")</f>
        <v>Validé</v>
      </c>
    </row>
    <row r="107" spans="1:20" ht="20.25">
      <c r="A107" s="7">
        <v>106</v>
      </c>
      <c r="B107" s="8" t="s">
        <v>105</v>
      </c>
      <c r="C107" s="7" t="s">
        <v>18</v>
      </c>
      <c r="D107" s="7">
        <v>8</v>
      </c>
      <c r="E107" s="7">
        <v>2</v>
      </c>
      <c r="F107" s="9">
        <v>8</v>
      </c>
      <c r="G107" s="9">
        <v>10</v>
      </c>
      <c r="H107" s="9">
        <v>8</v>
      </c>
      <c r="I107" s="9">
        <v>10</v>
      </c>
      <c r="J107" s="9">
        <v>8</v>
      </c>
      <c r="K107" s="9">
        <v>9</v>
      </c>
      <c r="L107" s="9">
        <v>3</v>
      </c>
      <c r="M107" s="9">
        <v>6</v>
      </c>
      <c r="N107" s="9">
        <v>4</v>
      </c>
      <c r="O107" s="9">
        <v>10</v>
      </c>
      <c r="P107" s="9">
        <v>10</v>
      </c>
      <c r="Q107" s="9">
        <f>IF(COUNTA(F107:P107)=0,"",SUM(F107:P107))</f>
        <v>86</v>
      </c>
      <c r="R107" s="10">
        <f>IF(Q107="","",Q107/11)</f>
        <v>7.8181818181818183</v>
      </c>
      <c r="S107" s="7">
        <f>IF(R107="","",1+COUNTIF($R$2:$R$116,"&gt;"&amp;R107))</f>
        <v>39</v>
      </c>
      <c r="T107" s="7" t="str">
        <f>IF(Table_3e_trimestre_H[[#This Row],[Moyenne]]&gt;5,"Validé","Non Validé")</f>
        <v>Validé</v>
      </c>
    </row>
    <row r="108" spans="1:20" ht="20.25">
      <c r="A108" s="7">
        <v>107</v>
      </c>
      <c r="B108" s="8" t="s">
        <v>106</v>
      </c>
      <c r="C108" s="7" t="s">
        <v>18</v>
      </c>
      <c r="D108" s="7">
        <v>8</v>
      </c>
      <c r="E108" s="7">
        <v>2</v>
      </c>
      <c r="F108" s="9">
        <v>7</v>
      </c>
      <c r="G108" s="9">
        <v>10</v>
      </c>
      <c r="H108" s="9">
        <v>8</v>
      </c>
      <c r="I108" s="9">
        <v>5</v>
      </c>
      <c r="J108" s="9">
        <v>7</v>
      </c>
      <c r="K108" s="9">
        <v>8</v>
      </c>
      <c r="L108" s="9">
        <v>0</v>
      </c>
      <c r="M108" s="9">
        <v>7</v>
      </c>
      <c r="N108" s="9">
        <v>1</v>
      </c>
      <c r="O108" s="9">
        <v>10</v>
      </c>
      <c r="P108" s="9">
        <v>4</v>
      </c>
      <c r="Q108" s="9">
        <f>IF(COUNTA(F108:P108)=0,"",SUM(F108:P108))</f>
        <v>67</v>
      </c>
      <c r="R108" s="10">
        <f>IF(Q108="","",Q108/11)</f>
        <v>6.0909090909090908</v>
      </c>
      <c r="S108" s="7">
        <f>IF(R108="","",1+COUNTIF($R$2:$R$116,"&gt;"&amp;R108))</f>
        <v>98</v>
      </c>
      <c r="T108" s="7" t="str">
        <f>IF(Table_3e_trimestre_H[[#This Row],[Moyenne]]&gt;5,"Validé","Non Validé")</f>
        <v>Validé</v>
      </c>
    </row>
    <row r="109" spans="1:20" ht="20.25">
      <c r="A109" s="7">
        <v>108</v>
      </c>
      <c r="B109" s="8" t="s">
        <v>107</v>
      </c>
      <c r="C109" s="7" t="s">
        <v>18</v>
      </c>
      <c r="D109" s="7">
        <v>8</v>
      </c>
      <c r="E109" s="7">
        <v>2</v>
      </c>
      <c r="F109" s="9">
        <v>7</v>
      </c>
      <c r="G109" s="9">
        <v>10</v>
      </c>
      <c r="H109" s="9">
        <v>8</v>
      </c>
      <c r="I109" s="9">
        <v>7</v>
      </c>
      <c r="J109" s="9">
        <v>8</v>
      </c>
      <c r="K109" s="9">
        <v>9</v>
      </c>
      <c r="L109" s="9">
        <v>8</v>
      </c>
      <c r="M109" s="9">
        <v>6</v>
      </c>
      <c r="N109" s="9">
        <v>9</v>
      </c>
      <c r="O109" s="9">
        <v>10</v>
      </c>
      <c r="P109" s="9">
        <v>10</v>
      </c>
      <c r="Q109" s="9">
        <f>IF(COUNTA(F109:P109)=0,"",SUM(F109:P109))</f>
        <v>92</v>
      </c>
      <c r="R109" s="10">
        <f>IF(Q109="","",Q109/11)</f>
        <v>8.3636363636363633</v>
      </c>
      <c r="S109" s="7">
        <f>IF(R109="","",1+COUNTIF($R$2:$R$116,"&gt;"&amp;R109))</f>
        <v>24</v>
      </c>
      <c r="T109" s="7" t="str">
        <f>IF(Table_3e_trimestre_H[[#This Row],[Moyenne]]&gt;5,"Validé","Non Validé")</f>
        <v>Validé</v>
      </c>
    </row>
    <row r="110" spans="1:20" ht="20.25">
      <c r="A110" s="7">
        <v>109</v>
      </c>
      <c r="B110" s="8" t="s">
        <v>130</v>
      </c>
      <c r="C110" s="7" t="s">
        <v>18</v>
      </c>
      <c r="D110" s="7">
        <v>8</v>
      </c>
      <c r="E110" s="7">
        <v>2</v>
      </c>
      <c r="F110" s="9">
        <v>6</v>
      </c>
      <c r="G110" s="9">
        <v>8</v>
      </c>
      <c r="H110" s="9">
        <v>8</v>
      </c>
      <c r="I110" s="9">
        <v>8</v>
      </c>
      <c r="J110" s="9">
        <v>7</v>
      </c>
      <c r="K110" s="9">
        <v>7</v>
      </c>
      <c r="L110" s="9">
        <v>3</v>
      </c>
      <c r="M110" s="9">
        <v>5</v>
      </c>
      <c r="N110" s="9">
        <v>9</v>
      </c>
      <c r="O110" s="9">
        <v>10</v>
      </c>
      <c r="P110" s="9">
        <v>2</v>
      </c>
      <c r="Q110" s="9">
        <f>IF(COUNTA(F110:P110)=0,"",SUM(F110:P110))</f>
        <v>73</v>
      </c>
      <c r="R110" s="10">
        <f>IF(Q110="","",Q110/11)</f>
        <v>6.6363636363636367</v>
      </c>
      <c r="S110" s="7">
        <f>IF(R110="","",1+COUNTIF($R$2:$R$116,"&gt;"&amp;R110))</f>
        <v>81</v>
      </c>
      <c r="T110" s="7" t="str">
        <f>IF(Table_3e_trimestre_H[[#This Row],[Moyenne]]&gt;5,"Validé","Non Validé")</f>
        <v>Validé</v>
      </c>
    </row>
    <row r="111" spans="1:20" ht="20.25">
      <c r="A111" s="7">
        <v>110</v>
      </c>
      <c r="B111" s="8" t="s">
        <v>108</v>
      </c>
      <c r="C111" s="7" t="s">
        <v>18</v>
      </c>
      <c r="D111" s="7">
        <v>8</v>
      </c>
      <c r="E111" s="7">
        <v>2</v>
      </c>
      <c r="F111" s="9">
        <v>8</v>
      </c>
      <c r="G111" s="9">
        <v>10</v>
      </c>
      <c r="H111" s="9">
        <v>4</v>
      </c>
      <c r="I111" s="9">
        <v>8</v>
      </c>
      <c r="J111" s="9">
        <v>7</v>
      </c>
      <c r="K111" s="9">
        <v>10</v>
      </c>
      <c r="L111" s="9">
        <v>1</v>
      </c>
      <c r="M111" s="9">
        <v>6</v>
      </c>
      <c r="N111" s="9">
        <v>6</v>
      </c>
      <c r="O111" s="9">
        <v>10</v>
      </c>
      <c r="P111" s="9">
        <v>4</v>
      </c>
      <c r="Q111" s="9">
        <f>IF(COUNTA(F111:P111)=0,"",SUM(F111:P111))</f>
        <v>74</v>
      </c>
      <c r="R111" s="10">
        <f>IF(Q111="","",Q111/11)</f>
        <v>6.7272727272727275</v>
      </c>
      <c r="S111" s="7">
        <f>IF(R111="","",1+COUNTIF($R$2:$R$116,"&gt;"&amp;R111))</f>
        <v>78</v>
      </c>
      <c r="T111" s="7" t="str">
        <f>IF(Table_3e_trimestre_H[[#This Row],[Moyenne]]&gt;5,"Validé","Non Validé")</f>
        <v>Validé</v>
      </c>
    </row>
    <row r="112" spans="1:20" ht="20.25">
      <c r="A112" s="7">
        <v>111</v>
      </c>
      <c r="B112" s="8" t="s">
        <v>109</v>
      </c>
      <c r="C112" s="7" t="s">
        <v>18</v>
      </c>
      <c r="D112" s="7">
        <v>8</v>
      </c>
      <c r="E112" s="7">
        <v>2</v>
      </c>
      <c r="F112" s="9">
        <v>9</v>
      </c>
      <c r="G112" s="9">
        <v>8</v>
      </c>
      <c r="H112" s="9">
        <v>9</v>
      </c>
      <c r="I112" s="9">
        <v>4</v>
      </c>
      <c r="J112" s="9">
        <v>5</v>
      </c>
      <c r="K112" s="9">
        <v>9</v>
      </c>
      <c r="L112" s="9">
        <v>4</v>
      </c>
      <c r="M112" s="9">
        <v>6</v>
      </c>
      <c r="N112" s="9">
        <v>5</v>
      </c>
      <c r="O112" s="9">
        <v>10</v>
      </c>
      <c r="P112" s="9">
        <v>10</v>
      </c>
      <c r="Q112" s="9">
        <f>IF(COUNTA(F112:P112)=0,"",SUM(F112:P112))</f>
        <v>79</v>
      </c>
      <c r="R112" s="10">
        <f>IF(Q112="","",Q112/11)</f>
        <v>7.1818181818181817</v>
      </c>
      <c r="S112" s="7">
        <f>IF(R112="","",1+COUNTIF($R$2:$R$116,"&gt;"&amp;R112))</f>
        <v>59</v>
      </c>
      <c r="T112" s="7" t="str">
        <f>IF(Table_3e_trimestre_H[[#This Row],[Moyenne]]&gt;5,"Validé","Non Validé")</f>
        <v>Validé</v>
      </c>
    </row>
    <row r="113" spans="1:20" s="3" customFormat="1" ht="20.25">
      <c r="A113" s="18">
        <v>112</v>
      </c>
      <c r="B113" s="15" t="s">
        <v>131</v>
      </c>
      <c r="C113" s="18" t="s">
        <v>20</v>
      </c>
      <c r="D113" s="18">
        <v>8</v>
      </c>
      <c r="E113" s="18">
        <v>2</v>
      </c>
      <c r="F113" s="19">
        <v>9</v>
      </c>
      <c r="G113" s="19">
        <v>10</v>
      </c>
      <c r="H113" s="19">
        <v>8</v>
      </c>
      <c r="I113" s="19">
        <v>10</v>
      </c>
      <c r="J113" s="19">
        <v>8</v>
      </c>
      <c r="K113" s="19">
        <v>10</v>
      </c>
      <c r="L113" s="19">
        <v>4</v>
      </c>
      <c r="M113" s="19">
        <v>6</v>
      </c>
      <c r="N113" s="19">
        <v>4</v>
      </c>
      <c r="O113" s="19">
        <v>10</v>
      </c>
      <c r="P113" s="19">
        <v>10</v>
      </c>
      <c r="Q113" s="19">
        <f>IF(COUNTA(F113:P113)=0,"",SUM(F113:P113))</f>
        <v>89</v>
      </c>
      <c r="R113" s="20">
        <f>IF(Q113="","",Q113/11)</f>
        <v>8.0909090909090917</v>
      </c>
      <c r="S113" s="18">
        <f>IF(R113="","",1+COUNTIF($R$2:$R$116,"&gt;"&amp;R113))</f>
        <v>35</v>
      </c>
      <c r="T113" s="18" t="str">
        <f>IF(Table_3e_trimestre_H[[#This Row],[Moyenne]]&gt;5,"Validé","Non Validé")</f>
        <v>Validé</v>
      </c>
    </row>
    <row r="114" spans="1:20" ht="20.25">
      <c r="A114" s="7">
        <v>113</v>
      </c>
      <c r="B114" s="8" t="s">
        <v>110</v>
      </c>
      <c r="C114" s="7" t="s">
        <v>18</v>
      </c>
      <c r="D114" s="7">
        <v>8</v>
      </c>
      <c r="E114" s="7">
        <v>2</v>
      </c>
      <c r="F114" s="9">
        <v>8</v>
      </c>
      <c r="G114" s="9">
        <v>10</v>
      </c>
      <c r="H114" s="9">
        <v>7</v>
      </c>
      <c r="I114" s="9">
        <v>8</v>
      </c>
      <c r="J114" s="9">
        <v>5</v>
      </c>
      <c r="K114" s="9">
        <v>9</v>
      </c>
      <c r="L114" s="9">
        <v>3</v>
      </c>
      <c r="M114" s="9">
        <v>5</v>
      </c>
      <c r="N114" s="9">
        <v>6</v>
      </c>
      <c r="O114" s="9">
        <v>10</v>
      </c>
      <c r="P114" s="9">
        <v>5</v>
      </c>
      <c r="Q114" s="9">
        <f>IF(COUNTA(F114:P114)=0,"",SUM(F114:P114))</f>
        <v>76</v>
      </c>
      <c r="R114" s="10">
        <f>IF(Q114="","",Q114/11)</f>
        <v>6.9090909090909092</v>
      </c>
      <c r="S114" s="7">
        <f>IF(R114="","",1+COUNTIF($R$2:$R$116,"&gt;"&amp;R114))</f>
        <v>73</v>
      </c>
      <c r="T114" s="7" t="str">
        <f>IF(Table_3e_trimestre_H[[#This Row],[Moyenne]]&gt;5,"Validé","Non Validé")</f>
        <v>Validé</v>
      </c>
    </row>
    <row r="115" spans="1:20" s="3" customFormat="1" ht="20.25">
      <c r="A115" s="18">
        <v>114</v>
      </c>
      <c r="B115" s="15" t="s">
        <v>111</v>
      </c>
      <c r="C115" s="18" t="s">
        <v>20</v>
      </c>
      <c r="D115" s="18">
        <v>8</v>
      </c>
      <c r="E115" s="18">
        <v>2</v>
      </c>
      <c r="F115" s="19">
        <v>9</v>
      </c>
      <c r="G115" s="19">
        <v>10</v>
      </c>
      <c r="H115" s="19">
        <v>9</v>
      </c>
      <c r="I115" s="19">
        <v>9</v>
      </c>
      <c r="J115" s="19">
        <v>8</v>
      </c>
      <c r="K115" s="19">
        <v>8</v>
      </c>
      <c r="L115" s="19">
        <v>4</v>
      </c>
      <c r="M115" s="19">
        <v>7</v>
      </c>
      <c r="N115" s="19">
        <v>8</v>
      </c>
      <c r="O115" s="19">
        <v>10</v>
      </c>
      <c r="P115" s="19">
        <v>10</v>
      </c>
      <c r="Q115" s="19">
        <f>IF(COUNTA(F115:P115)=0,"",SUM(F115:P115))</f>
        <v>92</v>
      </c>
      <c r="R115" s="20">
        <f>IF(Q115="","",Q115/11)</f>
        <v>8.3636363636363633</v>
      </c>
      <c r="S115" s="18">
        <f>IF(R115="","",1+COUNTIF($R$2:$R$116,"&gt;"&amp;R115))</f>
        <v>24</v>
      </c>
      <c r="T115" s="18" t="str">
        <f>IF(Table_3e_trimestre_H[[#This Row],[Moyenne]]&gt;5,"Validé","Non Validé")</f>
        <v>Validé</v>
      </c>
    </row>
    <row r="116" spans="1:20" ht="20.25">
      <c r="A116" s="7">
        <v>115</v>
      </c>
      <c r="B116" s="8" t="s">
        <v>112</v>
      </c>
      <c r="C116" s="7" t="s">
        <v>18</v>
      </c>
      <c r="D116" s="7">
        <v>8</v>
      </c>
      <c r="E116" s="7">
        <v>2</v>
      </c>
      <c r="F116" s="9">
        <v>9</v>
      </c>
      <c r="G116" s="9">
        <v>10</v>
      </c>
      <c r="H116" s="9">
        <v>9</v>
      </c>
      <c r="I116" s="9">
        <v>6</v>
      </c>
      <c r="J116" s="9">
        <v>7</v>
      </c>
      <c r="K116" s="9">
        <v>9</v>
      </c>
      <c r="L116" s="9">
        <v>5</v>
      </c>
      <c r="M116" s="9">
        <v>6</v>
      </c>
      <c r="N116" s="9">
        <v>8</v>
      </c>
      <c r="O116" s="9">
        <v>10</v>
      </c>
      <c r="P116" s="9">
        <v>9</v>
      </c>
      <c r="Q116" s="9">
        <f>IF(COUNTA(F116:P116)=0,"",SUM(F116:P116))</f>
        <v>88</v>
      </c>
      <c r="R116" s="10">
        <f>IF(Q116="","",Q116/11)</f>
        <v>8</v>
      </c>
      <c r="S116" s="7">
        <f>IF(R116="","",1+COUNTIF($R$2:$R$116,"&gt;"&amp;R116))</f>
        <v>38</v>
      </c>
      <c r="T116" s="7" t="str">
        <f>IF(Table_3e_trimestre_H[[#This Row],[Moyenne]]&gt;5,"Validé","Non Validé")</f>
        <v>Validé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1er trimestre</vt:lpstr>
      <vt:lpstr>2e trimestre</vt:lpstr>
      <vt:lpstr>3e trimestre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Abdoulaye MAIGA</dc:creator>
  <cp:lastModifiedBy>Abdoulaye MAIGA</cp:lastModifiedBy>
  <dcterms:created xsi:type="dcterms:W3CDTF">2026-05-20T15:52:59Z</dcterms:created>
  <dcterms:modified xsi:type="dcterms:W3CDTF">2026-05-21T11:53:15Z</dcterms:modified>
</cp:coreProperties>
</file>