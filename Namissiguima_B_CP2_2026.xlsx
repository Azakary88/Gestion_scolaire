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n_ecole\"/>
    </mc:Choice>
  </mc:AlternateContent>
  <xr:revisionPtr revIDLastSave="0" documentId="13_ncr:1_{58E6ADEE-51E4-4ADE-9EBD-D4AA1BCBCD7E}" xr6:coauthVersionLast="47" xr6:coauthVersionMax="47" xr10:uidLastSave="{00000000-0000-0000-0000-000000000000}"/>
  <bookViews>
    <workbookView xWindow="-120" yWindow="-120" windowWidth="20730" windowHeight="11040" activeTab="2" xr2:uid="{F6E505FA-7239-4876-9098-A89795485C2E}"/>
  </bookViews>
  <sheets>
    <sheet name="1er trimestre " sheetId="1" r:id="rId1"/>
    <sheet name="2e trimestre " sheetId="2" r:id="rId2"/>
    <sheet name="3e trimestre" sheetId="4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3" i="2" l="1"/>
  <c r="P33" i="2"/>
  <c r="R33" i="2" s="1"/>
  <c r="P116" i="2"/>
  <c r="R116" i="2" s="1"/>
  <c r="P66" i="2"/>
  <c r="R66" i="2" s="1"/>
  <c r="P82" i="2"/>
  <c r="R82" i="2" s="1"/>
  <c r="P97" i="2"/>
  <c r="R97" i="2" s="1"/>
  <c r="P112" i="2"/>
  <c r="R112" i="2" s="1"/>
  <c r="P69" i="2"/>
  <c r="R69" i="2" s="1"/>
  <c r="P48" i="2"/>
  <c r="R48" i="2" s="1"/>
  <c r="P107" i="2"/>
  <c r="R107" i="2" s="1"/>
  <c r="P86" i="2"/>
  <c r="R86" i="2" s="1"/>
  <c r="P64" i="2"/>
  <c r="R64" i="2" s="1"/>
  <c r="P22" i="2"/>
  <c r="R22" i="2" s="1"/>
  <c r="P61" i="2"/>
  <c r="R61" i="2" s="1"/>
  <c r="P27" i="2"/>
  <c r="R27" i="2" s="1"/>
  <c r="P9" i="2"/>
  <c r="R9" i="2" s="1"/>
  <c r="P7" i="2"/>
  <c r="R7" i="2" s="1"/>
  <c r="P5" i="2"/>
  <c r="R5" i="2" s="1"/>
  <c r="P81" i="2"/>
  <c r="R81" i="2" s="1"/>
  <c r="P58" i="2"/>
  <c r="R58" i="2" s="1"/>
  <c r="P109" i="2"/>
  <c r="R109" i="2" s="1"/>
  <c r="P24" i="2"/>
  <c r="R24" i="2" s="1"/>
  <c r="P11" i="2"/>
  <c r="R11" i="2" s="1"/>
  <c r="P43" i="2"/>
  <c r="R43" i="2" s="1"/>
  <c r="P29" i="2"/>
  <c r="R29" i="2" s="1"/>
  <c r="P74" i="2"/>
  <c r="R74" i="2" s="1"/>
  <c r="P72" i="2"/>
  <c r="R72" i="2" s="1"/>
  <c r="P103" i="2"/>
  <c r="R103" i="2" s="1"/>
  <c r="P93" i="2"/>
  <c r="R93" i="2" s="1"/>
  <c r="P40" i="2"/>
  <c r="R40" i="2" s="1"/>
  <c r="P46" i="2"/>
  <c r="R46" i="2" s="1"/>
  <c r="P65" i="2"/>
  <c r="R65" i="2" s="1"/>
  <c r="P77" i="2"/>
  <c r="R77" i="2" s="1"/>
  <c r="P67" i="2"/>
  <c r="R67" i="2" s="1"/>
  <c r="P16" i="2"/>
  <c r="R16" i="2" s="1"/>
  <c r="P25" i="2"/>
  <c r="R25" i="2" s="1"/>
  <c r="P41" i="2"/>
  <c r="R41" i="2" s="1"/>
  <c r="P114" i="2"/>
  <c r="R114" i="2" s="1"/>
  <c r="P30" i="2"/>
  <c r="R30" i="2" s="1"/>
  <c r="P31" i="2"/>
  <c r="R31" i="2" s="1"/>
  <c r="P111" i="2"/>
  <c r="R111" i="2" s="1"/>
  <c r="P73" i="2"/>
  <c r="R73" i="2" s="1"/>
  <c r="P90" i="2"/>
  <c r="R90" i="2" s="1"/>
  <c r="P12" i="2"/>
  <c r="R12" i="2" s="1"/>
  <c r="P28" i="2"/>
  <c r="R28" i="2" s="1"/>
  <c r="P56" i="2"/>
  <c r="R56" i="2" s="1"/>
  <c r="P21" i="2"/>
  <c r="R21" i="2" s="1"/>
  <c r="P15" i="2"/>
  <c r="R15" i="2" s="1"/>
  <c r="P6" i="2"/>
  <c r="R6" i="2" s="1"/>
  <c r="P95" i="2"/>
  <c r="R95" i="2" s="1"/>
  <c r="P13" i="2"/>
  <c r="R13" i="2" s="1"/>
  <c r="P35" i="2"/>
  <c r="R35" i="2" s="1"/>
  <c r="P83" i="2"/>
  <c r="R83" i="2" s="1"/>
  <c r="P98" i="2"/>
  <c r="R98" i="2" s="1"/>
  <c r="P49" i="2"/>
  <c r="R49" i="2" s="1"/>
  <c r="P105" i="2"/>
  <c r="R105" i="2" s="1"/>
  <c r="P79" i="2"/>
  <c r="R79" i="2" s="1"/>
  <c r="P23" i="2"/>
  <c r="R23" i="2" s="1"/>
  <c r="P4" i="2"/>
  <c r="R4" i="2" s="1"/>
  <c r="P71" i="2"/>
  <c r="R71" i="2" s="1"/>
  <c r="P78" i="2"/>
  <c r="R78" i="2" s="1"/>
  <c r="P3" i="2"/>
  <c r="R3" i="2" s="1"/>
  <c r="P34" i="2"/>
  <c r="R34" i="2" s="1"/>
  <c r="P37" i="2"/>
  <c r="R37" i="2" s="1"/>
  <c r="P54" i="2"/>
  <c r="R54" i="2" s="1"/>
  <c r="P99" i="2"/>
  <c r="R99" i="2" s="1"/>
  <c r="P115" i="2"/>
  <c r="R115" i="2" s="1"/>
  <c r="P32" i="2"/>
  <c r="R32" i="2" s="1"/>
  <c r="P59" i="2"/>
  <c r="R59" i="2" s="1"/>
  <c r="P108" i="2"/>
  <c r="R108" i="2" s="1"/>
  <c r="P52" i="2"/>
  <c r="R52" i="2" s="1"/>
  <c r="P104" i="2"/>
  <c r="R104" i="2" s="1"/>
  <c r="P70" i="2"/>
  <c r="R70" i="2" s="1"/>
  <c r="P80" i="2"/>
  <c r="R80" i="2" s="1"/>
  <c r="P51" i="2"/>
  <c r="R51" i="2" s="1"/>
  <c r="P62" i="2"/>
  <c r="R62" i="2" s="1"/>
  <c r="P91" i="2"/>
  <c r="R91" i="2" s="1"/>
  <c r="P38" i="2"/>
  <c r="R38" i="2" s="1"/>
  <c r="P26" i="2"/>
  <c r="R26" i="2" s="1"/>
  <c r="P102" i="2"/>
  <c r="R102" i="2" s="1"/>
  <c r="P110" i="2"/>
  <c r="R110" i="2" s="1"/>
  <c r="P94" i="2"/>
  <c r="R94" i="2" s="1"/>
  <c r="P36" i="2"/>
  <c r="R36" i="2" s="1"/>
  <c r="P47" i="2"/>
  <c r="R47" i="2" s="1"/>
  <c r="P50" i="2"/>
  <c r="R50" i="2" s="1"/>
  <c r="P68" i="2"/>
  <c r="R68" i="2" s="1"/>
  <c r="P75" i="2"/>
  <c r="R75" i="2" s="1"/>
  <c r="P96" i="2"/>
  <c r="R96" i="2" s="1"/>
  <c r="P44" i="2"/>
  <c r="R44" i="2" s="1"/>
  <c r="P84" i="2"/>
  <c r="R84" i="2" s="1"/>
  <c r="P100" i="2"/>
  <c r="R100" i="2" s="1"/>
  <c r="P63" i="2"/>
  <c r="R63" i="2" s="1"/>
  <c r="P45" i="2"/>
  <c r="R45" i="2" s="1"/>
  <c r="P42" i="2"/>
  <c r="R42" i="2" s="1"/>
  <c r="P88" i="2"/>
  <c r="R88" i="2" s="1"/>
  <c r="P57" i="2"/>
  <c r="R57" i="2" s="1"/>
  <c r="P14" i="2"/>
  <c r="R14" i="2" s="1"/>
  <c r="P101" i="2"/>
  <c r="R101" i="2" s="1"/>
  <c r="P8" i="2"/>
  <c r="R8" i="2" s="1"/>
  <c r="P20" i="2"/>
  <c r="R20" i="2" s="1"/>
  <c r="P19" i="2"/>
  <c r="R19" i="2" s="1"/>
  <c r="P76" i="2"/>
  <c r="R76" i="2" s="1"/>
  <c r="P2" i="2"/>
  <c r="R2" i="2" s="1"/>
  <c r="P55" i="2"/>
  <c r="R55" i="2" s="1"/>
  <c r="P92" i="2"/>
  <c r="R92" i="2" s="1"/>
  <c r="P106" i="2"/>
  <c r="R106" i="2" s="1"/>
  <c r="P89" i="2"/>
  <c r="R89" i="2" s="1"/>
  <c r="P39" i="2"/>
  <c r="R39" i="2" s="1"/>
  <c r="P18" i="2"/>
  <c r="R18" i="2" s="1"/>
  <c r="P53" i="2"/>
  <c r="R53" i="2" s="1"/>
  <c r="P60" i="2"/>
  <c r="R60" i="2" s="1"/>
  <c r="P85" i="2"/>
  <c r="R85" i="2" s="1"/>
  <c r="P87" i="2"/>
  <c r="R87" i="2" s="1"/>
  <c r="P113" i="2"/>
  <c r="R113" i="2" s="1"/>
  <c r="P17" i="2"/>
  <c r="R17" i="2" s="1"/>
  <c r="P10" i="2"/>
  <c r="R10" i="2" s="1"/>
  <c r="O116" i="2"/>
  <c r="O66" i="2"/>
  <c r="O82" i="2"/>
  <c r="O97" i="2"/>
  <c r="O112" i="2"/>
  <c r="O69" i="2"/>
  <c r="O48" i="2"/>
  <c r="O107" i="2"/>
  <c r="O86" i="2"/>
  <c r="O64" i="2"/>
  <c r="O22" i="2"/>
  <c r="O61" i="2"/>
  <c r="O27" i="2"/>
  <c r="O9" i="2"/>
  <c r="O7" i="2"/>
  <c r="O5" i="2"/>
  <c r="O81" i="2"/>
  <c r="O58" i="2"/>
  <c r="O109" i="2"/>
  <c r="O24" i="2"/>
  <c r="O11" i="2"/>
  <c r="O43" i="2"/>
  <c r="O29" i="2"/>
  <c r="O74" i="2"/>
  <c r="O72" i="2"/>
  <c r="O103" i="2"/>
  <c r="O93" i="2"/>
  <c r="O40" i="2"/>
  <c r="O46" i="2"/>
  <c r="O65" i="2"/>
  <c r="O77" i="2"/>
  <c r="O67" i="2"/>
  <c r="O16" i="2"/>
  <c r="O25" i="2"/>
  <c r="O41" i="2"/>
  <c r="O114" i="2"/>
  <c r="O30" i="2"/>
  <c r="O31" i="2"/>
  <c r="O111" i="2"/>
  <c r="O73" i="2"/>
  <c r="O90" i="2"/>
  <c r="O12" i="2"/>
  <c r="O28" i="2"/>
  <c r="O56" i="2"/>
  <c r="O21" i="2"/>
  <c r="O15" i="2"/>
  <c r="O6" i="2"/>
  <c r="O95" i="2"/>
  <c r="O13" i="2"/>
  <c r="O35" i="2"/>
  <c r="O83" i="2"/>
  <c r="O98" i="2"/>
  <c r="O49" i="2"/>
  <c r="O105" i="2"/>
  <c r="O79" i="2"/>
  <c r="O23" i="2"/>
  <c r="O4" i="2"/>
  <c r="O71" i="2"/>
  <c r="O78" i="2"/>
  <c r="O3" i="2"/>
  <c r="O34" i="2"/>
  <c r="O37" i="2"/>
  <c r="O54" i="2"/>
  <c r="O99" i="2"/>
  <c r="O115" i="2"/>
  <c r="O32" i="2"/>
  <c r="O59" i="2"/>
  <c r="O108" i="2"/>
  <c r="O52" i="2"/>
  <c r="O104" i="2"/>
  <c r="O70" i="2"/>
  <c r="O80" i="2"/>
  <c r="O51" i="2"/>
  <c r="O62" i="2"/>
  <c r="O91" i="2"/>
  <c r="O38" i="2"/>
  <c r="O26" i="2"/>
  <c r="O102" i="2"/>
  <c r="O110" i="2"/>
  <c r="O94" i="2"/>
  <c r="O36" i="2"/>
  <c r="O47" i="2"/>
  <c r="O50" i="2"/>
  <c r="O68" i="2"/>
  <c r="O75" i="2"/>
  <c r="O96" i="2"/>
  <c r="O44" i="2"/>
  <c r="O84" i="2"/>
  <c r="O100" i="2"/>
  <c r="O63" i="2"/>
  <c r="O45" i="2"/>
  <c r="O42" i="2"/>
  <c r="O88" i="2"/>
  <c r="O57" i="2"/>
  <c r="O14" i="2"/>
  <c r="O101" i="2"/>
  <c r="O8" i="2"/>
  <c r="O20" i="2"/>
  <c r="O19" i="2"/>
  <c r="O76" i="2"/>
  <c r="O2" i="2"/>
  <c r="O55" i="2"/>
  <c r="O92" i="2"/>
  <c r="O106" i="2"/>
  <c r="O89" i="2"/>
  <c r="O39" i="2"/>
  <c r="O18" i="2"/>
  <c r="O53" i="2"/>
  <c r="O60" i="2"/>
  <c r="O85" i="2"/>
  <c r="O87" i="2"/>
  <c r="O113" i="2"/>
  <c r="O17" i="2"/>
  <c r="O10" i="2"/>
  <c r="O17" i="4"/>
  <c r="P113" i="4"/>
  <c r="R113" i="4" s="1"/>
  <c r="Q33" i="2" l="1"/>
  <c r="Q26" i="2"/>
  <c r="Q71" i="2"/>
  <c r="Q45" i="2"/>
  <c r="Q95" i="2"/>
  <c r="Q86" i="2"/>
  <c r="Q4" i="2"/>
  <c r="Q116" i="2"/>
  <c r="Q89" i="2"/>
  <c r="Q2" i="2"/>
  <c r="Q84" i="2"/>
  <c r="Q7" i="2"/>
  <c r="Q25" i="2"/>
  <c r="Q43" i="2"/>
  <c r="Q91" i="2"/>
  <c r="Q9" i="2"/>
  <c r="Q46" i="2"/>
  <c r="Q55" i="2"/>
  <c r="Q73" i="2"/>
  <c r="Q20" i="2"/>
  <c r="Q63" i="2"/>
  <c r="Q110" i="2"/>
  <c r="Q79" i="2"/>
  <c r="Q67" i="2"/>
  <c r="Q107" i="2"/>
  <c r="Q113" i="2"/>
  <c r="Q15" i="2"/>
  <c r="Q19" i="2"/>
  <c r="Q22" i="2"/>
  <c r="Q23" i="2"/>
  <c r="Q30" i="2"/>
  <c r="Q32" i="2"/>
  <c r="Q34" i="2"/>
  <c r="Q37" i="2"/>
  <c r="Q38" i="2"/>
  <c r="Q50" i="2"/>
  <c r="Q62" i="2"/>
  <c r="Q65" i="2"/>
  <c r="Q69" i="2"/>
  <c r="Q76" i="2"/>
  <c r="Q80" i="2"/>
  <c r="Q82" i="2"/>
  <c r="Q94" i="2"/>
  <c r="Q97" i="2"/>
  <c r="Q99" i="2"/>
  <c r="Q102" i="2"/>
  <c r="Q104" i="2"/>
  <c r="Q106" i="2"/>
  <c r="Q108" i="2"/>
  <c r="Q109" i="2"/>
  <c r="Q12" i="2"/>
  <c r="Q13" i="2"/>
  <c r="Q21" i="2"/>
  <c r="Q3" i="2"/>
  <c r="Q8" i="2"/>
  <c r="Q27" i="2"/>
  <c r="Q41" i="2"/>
  <c r="Q44" i="2"/>
  <c r="Q42" i="2"/>
  <c r="Q53" i="2"/>
  <c r="Q56" i="2"/>
  <c r="Q58" i="2"/>
  <c r="Q72" i="2"/>
  <c r="Q88" i="2"/>
  <c r="Q87" i="2"/>
  <c r="Q90" i="2"/>
  <c r="Q92" i="2"/>
  <c r="Q112" i="2"/>
  <c r="Q115" i="2"/>
  <c r="Q11" i="2"/>
  <c r="Q14" i="2"/>
  <c r="Q16" i="2"/>
  <c r="Q17" i="2"/>
  <c r="Q18" i="2"/>
  <c r="Q52" i="2"/>
  <c r="Q29" i="2"/>
  <c r="Q31" i="2"/>
  <c r="Q35" i="2"/>
  <c r="Q36" i="2"/>
  <c r="Q49" i="2"/>
  <c r="Q51" i="2"/>
  <c r="Q60" i="2"/>
  <c r="Q64" i="2"/>
  <c r="Q66" i="2"/>
  <c r="Q68" i="2"/>
  <c r="Q75" i="2"/>
  <c r="Q77" i="2"/>
  <c r="Q81" i="2"/>
  <c r="Q93" i="2"/>
  <c r="Q101" i="2"/>
  <c r="Q98" i="2"/>
  <c r="Q100" i="2"/>
  <c r="Q103" i="2"/>
  <c r="Q105" i="2"/>
  <c r="Q10" i="2"/>
  <c r="Q39" i="2"/>
  <c r="Q47" i="2"/>
  <c r="Q59" i="2"/>
  <c r="Q78" i="2"/>
  <c r="Q6" i="2"/>
  <c r="Q111" i="2"/>
  <c r="Q74" i="2"/>
  <c r="Q24" i="2"/>
  <c r="Q48" i="2"/>
  <c r="Q85" i="2"/>
  <c r="Q57" i="2"/>
  <c r="Q96" i="2"/>
  <c r="Q70" i="2"/>
  <c r="Q54" i="2"/>
  <c r="Q83" i="2"/>
  <c r="Q28" i="2"/>
  <c r="Q114" i="2"/>
  <c r="Q40" i="2"/>
  <c r="Q5" i="2"/>
  <c r="Q61" i="2"/>
  <c r="P6" i="4"/>
  <c r="R6" i="4" s="1"/>
  <c r="P41" i="4"/>
  <c r="R41" i="4" s="1"/>
  <c r="P19" i="4"/>
  <c r="R19" i="4" s="1"/>
  <c r="P30" i="4"/>
  <c r="R30" i="4" s="1"/>
  <c r="P67" i="4"/>
  <c r="R67" i="4" s="1"/>
  <c r="P24" i="4"/>
  <c r="R24" i="4" s="1"/>
  <c r="P106" i="4"/>
  <c r="R106" i="4" s="1"/>
  <c r="P12" i="4"/>
  <c r="R12" i="4" s="1"/>
  <c r="P85" i="4"/>
  <c r="R85" i="4" s="1"/>
  <c r="P35" i="4"/>
  <c r="R35" i="4" s="1"/>
  <c r="P20" i="4"/>
  <c r="R20" i="4" s="1"/>
  <c r="P11" i="4"/>
  <c r="R11" i="4" s="1"/>
  <c r="P26" i="4"/>
  <c r="R26" i="4" s="1"/>
  <c r="P97" i="4"/>
  <c r="R97" i="4" s="1"/>
  <c r="P36" i="4"/>
  <c r="R36" i="4" s="1"/>
  <c r="P112" i="4"/>
  <c r="R112" i="4" s="1"/>
  <c r="P109" i="4"/>
  <c r="R109" i="4" s="1"/>
  <c r="P115" i="4"/>
  <c r="R115" i="4" s="1"/>
  <c r="P92" i="4"/>
  <c r="R92" i="4" s="1"/>
  <c r="P83" i="4"/>
  <c r="R83" i="4" s="1"/>
  <c r="P94" i="4"/>
  <c r="R94" i="4" s="1"/>
  <c r="P111" i="4"/>
  <c r="R111" i="4" s="1"/>
  <c r="P114" i="4"/>
  <c r="R114" i="4" s="1"/>
  <c r="P89" i="4"/>
  <c r="R89" i="4" s="1"/>
  <c r="P104" i="4"/>
  <c r="R104" i="4" s="1"/>
  <c r="P75" i="4"/>
  <c r="R75" i="4" s="1"/>
  <c r="P66" i="4"/>
  <c r="R66" i="4" s="1"/>
  <c r="P93" i="4"/>
  <c r="R93" i="4" s="1"/>
  <c r="P40" i="4"/>
  <c r="R40" i="4" s="1"/>
  <c r="P54" i="4"/>
  <c r="R54" i="4" s="1"/>
  <c r="P95" i="4"/>
  <c r="R95" i="4" s="1"/>
  <c r="P88" i="4"/>
  <c r="R88" i="4" s="1"/>
  <c r="P76" i="4"/>
  <c r="R76" i="4" s="1"/>
  <c r="P98" i="4"/>
  <c r="R98" i="4" s="1"/>
  <c r="P77" i="4"/>
  <c r="R77" i="4" s="1"/>
  <c r="P116" i="4"/>
  <c r="R116" i="4" s="1"/>
  <c r="P84" i="4"/>
  <c r="R84" i="4" s="1"/>
  <c r="P68" i="4"/>
  <c r="R68" i="4" s="1"/>
  <c r="P105" i="4"/>
  <c r="R105" i="4" s="1"/>
  <c r="P3" i="4"/>
  <c r="R3" i="4" s="1"/>
  <c r="P17" i="4"/>
  <c r="R17" i="4" s="1"/>
  <c r="P14" i="4"/>
  <c r="R14" i="4" s="1"/>
  <c r="P50" i="4"/>
  <c r="R50" i="4" s="1"/>
  <c r="P5" i="4"/>
  <c r="R5" i="4" s="1"/>
  <c r="P78" i="4"/>
  <c r="R78" i="4" s="1"/>
  <c r="P34" i="4"/>
  <c r="R34" i="4" s="1"/>
  <c r="P18" i="4"/>
  <c r="R18" i="4" s="1"/>
  <c r="P101" i="4"/>
  <c r="R101" i="4" s="1"/>
  <c r="P10" i="4"/>
  <c r="R10" i="4" s="1"/>
  <c r="P59" i="4"/>
  <c r="R59" i="4" s="1"/>
  <c r="P79" i="4"/>
  <c r="R79" i="4" s="1"/>
  <c r="P48" i="4"/>
  <c r="R48" i="4" s="1"/>
  <c r="P9" i="4"/>
  <c r="R9" i="4" s="1"/>
  <c r="P100" i="4"/>
  <c r="R100" i="4" s="1"/>
  <c r="P110" i="4"/>
  <c r="R110" i="4" s="1"/>
  <c r="P96" i="4"/>
  <c r="R96" i="4" s="1"/>
  <c r="P57" i="4"/>
  <c r="R57" i="4" s="1"/>
  <c r="P33" i="4"/>
  <c r="R33" i="4" s="1"/>
  <c r="P71" i="4"/>
  <c r="R71" i="4" s="1"/>
  <c r="P107" i="4"/>
  <c r="R107" i="4" s="1"/>
  <c r="P53" i="4"/>
  <c r="R53" i="4" s="1"/>
  <c r="P49" i="4"/>
  <c r="R49" i="4" s="1"/>
  <c r="P72" i="4"/>
  <c r="R72" i="4" s="1"/>
  <c r="P25" i="4"/>
  <c r="R25" i="4" s="1"/>
  <c r="P46" i="4"/>
  <c r="R46" i="4" s="1"/>
  <c r="P69" i="4"/>
  <c r="R69" i="4" s="1"/>
  <c r="P7" i="4"/>
  <c r="R7" i="4" s="1"/>
  <c r="P31" i="4"/>
  <c r="R31" i="4" s="1"/>
  <c r="P45" i="4"/>
  <c r="R45" i="4" s="1"/>
  <c r="P37" i="4"/>
  <c r="R37" i="4" s="1"/>
  <c r="P87" i="4"/>
  <c r="R87" i="4" s="1"/>
  <c r="P13" i="4"/>
  <c r="R13" i="4" s="1"/>
  <c r="P2" i="4"/>
  <c r="R2" i="4" s="1"/>
  <c r="P4" i="4"/>
  <c r="R4" i="4" s="1"/>
  <c r="P8" i="4"/>
  <c r="R8" i="4" s="1"/>
  <c r="P61" i="4"/>
  <c r="R61" i="4" s="1"/>
  <c r="P55" i="4"/>
  <c r="R55" i="4" s="1"/>
  <c r="P28" i="4"/>
  <c r="R28" i="4" s="1"/>
  <c r="P62" i="4"/>
  <c r="R62" i="4" s="1"/>
  <c r="P16" i="4"/>
  <c r="R16" i="4" s="1"/>
  <c r="P23" i="4"/>
  <c r="R23" i="4" s="1"/>
  <c r="P102" i="4"/>
  <c r="R102" i="4" s="1"/>
  <c r="P73" i="4"/>
  <c r="R73" i="4" s="1"/>
  <c r="P56" i="4"/>
  <c r="R56" i="4" s="1"/>
  <c r="P70" i="4"/>
  <c r="R70" i="4" s="1"/>
  <c r="P63" i="4"/>
  <c r="R63" i="4" s="1"/>
  <c r="P51" i="4"/>
  <c r="R51" i="4" s="1"/>
  <c r="P91" i="4"/>
  <c r="R91" i="4" s="1"/>
  <c r="P60" i="4"/>
  <c r="R60" i="4" s="1"/>
  <c r="P15" i="4"/>
  <c r="R15" i="4" s="1"/>
  <c r="P47" i="4"/>
  <c r="R47" i="4" s="1"/>
  <c r="P42" i="4"/>
  <c r="R42" i="4" s="1"/>
  <c r="P108" i="4"/>
  <c r="R108" i="4" s="1"/>
  <c r="P65" i="4"/>
  <c r="R65" i="4" s="1"/>
  <c r="P58" i="4"/>
  <c r="R58" i="4" s="1"/>
  <c r="P21" i="4"/>
  <c r="R21" i="4" s="1"/>
  <c r="P86" i="4"/>
  <c r="R86" i="4" s="1"/>
  <c r="P44" i="4"/>
  <c r="R44" i="4" s="1"/>
  <c r="P80" i="4"/>
  <c r="R80" i="4" s="1"/>
  <c r="P90" i="4"/>
  <c r="R90" i="4" s="1"/>
  <c r="P103" i="4"/>
  <c r="R103" i="4" s="1"/>
  <c r="P32" i="4"/>
  <c r="R32" i="4" s="1"/>
  <c r="P22" i="4"/>
  <c r="R22" i="4" s="1"/>
  <c r="P52" i="4"/>
  <c r="R52" i="4" s="1"/>
  <c r="P43" i="4"/>
  <c r="R43" i="4" s="1"/>
  <c r="P99" i="4"/>
  <c r="R99" i="4" s="1"/>
  <c r="P29" i="4"/>
  <c r="R29" i="4" s="1"/>
  <c r="P82" i="4"/>
  <c r="R82" i="4" s="1"/>
  <c r="P81" i="4"/>
  <c r="R81" i="4" s="1"/>
  <c r="P64" i="4"/>
  <c r="R64" i="4" s="1"/>
  <c r="P38" i="4"/>
  <c r="R38" i="4" s="1"/>
  <c r="P74" i="4"/>
  <c r="R74" i="4" s="1"/>
  <c r="P27" i="4"/>
  <c r="R27" i="4" s="1"/>
  <c r="P39" i="4"/>
  <c r="R39" i="4" s="1"/>
  <c r="O6" i="4"/>
  <c r="O41" i="4"/>
  <c r="O19" i="4"/>
  <c r="O30" i="4"/>
  <c r="O67" i="4"/>
  <c r="O24" i="4"/>
  <c r="O106" i="4"/>
  <c r="O12" i="4"/>
  <c r="O85" i="4"/>
  <c r="O35" i="4"/>
  <c r="O20" i="4"/>
  <c r="O11" i="4"/>
  <c r="O26" i="4"/>
  <c r="O97" i="4"/>
  <c r="O36" i="4"/>
  <c r="O112" i="4"/>
  <c r="O113" i="4"/>
  <c r="O109" i="4"/>
  <c r="O115" i="4"/>
  <c r="O92" i="4"/>
  <c r="O83" i="4"/>
  <c r="O94" i="4"/>
  <c r="O111" i="4"/>
  <c r="O114" i="4"/>
  <c r="O89" i="4"/>
  <c r="O104" i="4"/>
  <c r="O75" i="4"/>
  <c r="O66" i="4"/>
  <c r="O93" i="4"/>
  <c r="O40" i="4"/>
  <c r="O54" i="4"/>
  <c r="O95" i="4"/>
  <c r="O88" i="4"/>
  <c r="O76" i="4"/>
  <c r="O98" i="4"/>
  <c r="O77" i="4"/>
  <c r="O116" i="4"/>
  <c r="O84" i="4"/>
  <c r="O68" i="4"/>
  <c r="O105" i="4"/>
  <c r="O3" i="4"/>
  <c r="O14" i="4"/>
  <c r="O50" i="4"/>
  <c r="O5" i="4"/>
  <c r="O78" i="4"/>
  <c r="O34" i="4"/>
  <c r="O18" i="4"/>
  <c r="O101" i="4"/>
  <c r="O10" i="4"/>
  <c r="O59" i="4"/>
  <c r="O79" i="4"/>
  <c r="O48" i="4"/>
  <c r="O9" i="4"/>
  <c r="O100" i="4"/>
  <c r="O110" i="4"/>
  <c r="O96" i="4"/>
  <c r="O57" i="4"/>
  <c r="O33" i="4"/>
  <c r="O71" i="4"/>
  <c r="O107" i="4"/>
  <c r="O53" i="4"/>
  <c r="O49" i="4"/>
  <c r="O72" i="4"/>
  <c r="O25" i="4"/>
  <c r="O46" i="4"/>
  <c r="O69" i="4"/>
  <c r="O7" i="4"/>
  <c r="O31" i="4"/>
  <c r="O45" i="4"/>
  <c r="O37" i="4"/>
  <c r="O87" i="4"/>
  <c r="O13" i="4"/>
  <c r="O2" i="4"/>
  <c r="O4" i="4"/>
  <c r="O8" i="4"/>
  <c r="O61" i="4"/>
  <c r="O55" i="4"/>
  <c r="O28" i="4"/>
  <c r="O62" i="4"/>
  <c r="O16" i="4"/>
  <c r="O23" i="4"/>
  <c r="O102" i="4"/>
  <c r="O73" i="4"/>
  <c r="O56" i="4"/>
  <c r="O70" i="4"/>
  <c r="O63" i="4"/>
  <c r="O51" i="4"/>
  <c r="O91" i="4"/>
  <c r="O60" i="4"/>
  <c r="O15" i="4"/>
  <c r="O47" i="4"/>
  <c r="O42" i="4"/>
  <c r="O108" i="4"/>
  <c r="O65" i="4"/>
  <c r="O58" i="4"/>
  <c r="O21" i="4"/>
  <c r="O86" i="4"/>
  <c r="O44" i="4"/>
  <c r="O80" i="4"/>
  <c r="O90" i="4"/>
  <c r="O103" i="4"/>
  <c r="O32" i="4"/>
  <c r="O22" i="4"/>
  <c r="O52" i="4"/>
  <c r="O43" i="4"/>
  <c r="O99" i="4"/>
  <c r="O29" i="4"/>
  <c r="O82" i="4"/>
  <c r="O81" i="4"/>
  <c r="O64" i="4"/>
  <c r="O38" i="4"/>
  <c r="O74" i="4"/>
  <c r="O27" i="4"/>
  <c r="O39" i="4"/>
  <c r="P94" i="1"/>
  <c r="P10" i="1"/>
  <c r="R10" i="1" s="1"/>
  <c r="P22" i="1"/>
  <c r="R22" i="1" s="1"/>
  <c r="P26" i="1"/>
  <c r="P29" i="1"/>
  <c r="R29" i="1" s="1"/>
  <c r="P49" i="1"/>
  <c r="R49" i="1" s="1"/>
  <c r="P17" i="1"/>
  <c r="R17" i="1" s="1"/>
  <c r="P86" i="1"/>
  <c r="P47" i="1"/>
  <c r="R47" i="1" s="1"/>
  <c r="P55" i="1"/>
  <c r="R55" i="1" s="1"/>
  <c r="P33" i="1"/>
  <c r="R33" i="1" s="1"/>
  <c r="P27" i="1"/>
  <c r="R27" i="1" s="1"/>
  <c r="P7" i="1"/>
  <c r="R7" i="1" s="1"/>
  <c r="P3" i="1"/>
  <c r="P28" i="1"/>
  <c r="R28" i="1" s="1"/>
  <c r="P50" i="1"/>
  <c r="R50" i="1" s="1"/>
  <c r="P82" i="1"/>
  <c r="R82" i="1" s="1"/>
  <c r="P65" i="1"/>
  <c r="R65" i="1" s="1"/>
  <c r="P59" i="1"/>
  <c r="R59" i="1" s="1"/>
  <c r="P88" i="1"/>
  <c r="P93" i="1"/>
  <c r="R93" i="1" s="1"/>
  <c r="P85" i="1"/>
  <c r="R85" i="1" s="1"/>
  <c r="P84" i="1"/>
  <c r="R84" i="1" s="1"/>
  <c r="P89" i="1"/>
  <c r="R89" i="1" s="1"/>
  <c r="P77" i="1"/>
  <c r="P92" i="1"/>
  <c r="R92" i="1" s="1"/>
  <c r="P80" i="1"/>
  <c r="R80" i="1" s="1"/>
  <c r="P95" i="1"/>
  <c r="R95" i="1" s="1"/>
  <c r="P53" i="1"/>
  <c r="R53" i="1" s="1"/>
  <c r="P60" i="1"/>
  <c r="R60" i="1" s="1"/>
  <c r="P74" i="1"/>
  <c r="R74" i="1" s="1"/>
  <c r="P38" i="1"/>
  <c r="P63" i="1"/>
  <c r="R63" i="1" s="1"/>
  <c r="P56" i="1"/>
  <c r="R56" i="1" s="1"/>
  <c r="P14" i="1"/>
  <c r="P4" i="1"/>
  <c r="R4" i="1" s="1"/>
  <c r="P40" i="1"/>
  <c r="R40" i="1" s="1"/>
  <c r="P39" i="1"/>
  <c r="R39" i="1" s="1"/>
  <c r="P8" i="1"/>
  <c r="R8" i="1" s="1"/>
  <c r="P19" i="1"/>
  <c r="P23" i="1"/>
  <c r="R23" i="1" s="1"/>
  <c r="P90" i="1"/>
  <c r="R90" i="1" s="1"/>
  <c r="P83" i="1"/>
  <c r="R83" i="1" s="1"/>
  <c r="P48" i="1"/>
  <c r="R48" i="1" s="1"/>
  <c r="P78" i="1"/>
  <c r="R78" i="1" s="1"/>
  <c r="P71" i="1"/>
  <c r="R71" i="1" s="1"/>
  <c r="P52" i="1"/>
  <c r="R52" i="1" s="1"/>
  <c r="P15" i="1"/>
  <c r="P66" i="1"/>
  <c r="R66" i="1" s="1"/>
  <c r="P72" i="1"/>
  <c r="R72" i="1" s="1"/>
  <c r="P62" i="1"/>
  <c r="R62" i="1" s="1"/>
  <c r="P46" i="1"/>
  <c r="R46" i="1" s="1"/>
  <c r="P61" i="1"/>
  <c r="R61" i="1" s="1"/>
  <c r="P12" i="1"/>
  <c r="R12" i="1" s="1"/>
  <c r="P5" i="1"/>
  <c r="R5" i="1" s="1"/>
  <c r="P64" i="1"/>
  <c r="R64" i="1" s="1"/>
  <c r="P68" i="1"/>
  <c r="R68" i="1" s="1"/>
  <c r="P41" i="1"/>
  <c r="R41" i="1" s="1"/>
  <c r="P76" i="1"/>
  <c r="R76" i="1" s="1"/>
  <c r="P25" i="1"/>
  <c r="R25" i="1" s="1"/>
  <c r="P2" i="1"/>
  <c r="P9" i="1"/>
  <c r="R9" i="1" s="1"/>
  <c r="P6" i="1"/>
  <c r="R6" i="1" s="1"/>
  <c r="P45" i="1"/>
  <c r="R45" i="1" s="1"/>
  <c r="P57" i="1"/>
  <c r="R57" i="1" s="1"/>
  <c r="P32" i="1"/>
  <c r="R32" i="1" s="1"/>
  <c r="P51" i="1"/>
  <c r="R51" i="1" s="1"/>
  <c r="P18" i="1"/>
  <c r="P21" i="1"/>
  <c r="R21" i="1" s="1"/>
  <c r="P69" i="1"/>
  <c r="R69" i="1" s="1"/>
  <c r="P54" i="1"/>
  <c r="R54" i="1" s="1"/>
  <c r="P36" i="1"/>
  <c r="R36" i="1" s="1"/>
  <c r="P58" i="1"/>
  <c r="R58" i="1" s="1"/>
  <c r="P73" i="1"/>
  <c r="R73" i="1" s="1"/>
  <c r="P70" i="1"/>
  <c r="R70" i="1" s="1"/>
  <c r="P30" i="1"/>
  <c r="P37" i="1"/>
  <c r="R37" i="1" s="1"/>
  <c r="P35" i="1"/>
  <c r="R35" i="1" s="1"/>
  <c r="P75" i="1"/>
  <c r="R75" i="1" s="1"/>
  <c r="P87" i="1"/>
  <c r="P67" i="1"/>
  <c r="R67" i="1" s="1"/>
  <c r="P13" i="1"/>
  <c r="R13" i="1" s="1"/>
  <c r="P20" i="1"/>
  <c r="R20" i="1" s="1"/>
  <c r="P81" i="1"/>
  <c r="P16" i="1"/>
  <c r="R16" i="1" s="1"/>
  <c r="P43" i="1"/>
  <c r="R43" i="1" s="1"/>
  <c r="P24" i="1"/>
  <c r="R24" i="1" s="1"/>
  <c r="P31" i="1"/>
  <c r="R31" i="1" s="1"/>
  <c r="P79" i="1"/>
  <c r="R79" i="1" s="1"/>
  <c r="P34" i="1"/>
  <c r="R34" i="1" s="1"/>
  <c r="P91" i="1"/>
  <c r="R91" i="1" s="1"/>
  <c r="P42" i="1"/>
  <c r="P11" i="1"/>
  <c r="R11" i="1" s="1"/>
  <c r="P44" i="1"/>
  <c r="R44" i="1" s="1"/>
  <c r="O18" i="1"/>
  <c r="R26" i="1"/>
  <c r="R14" i="1"/>
  <c r="R19" i="1"/>
  <c r="R38" i="1"/>
  <c r="R81" i="1"/>
  <c r="R77" i="1"/>
  <c r="R86" i="1"/>
  <c r="R87" i="1"/>
  <c r="R18" i="1"/>
  <c r="R42" i="1"/>
  <c r="R15" i="1"/>
  <c r="R30" i="1"/>
  <c r="R88" i="1"/>
  <c r="O3" i="1"/>
  <c r="O28" i="1"/>
  <c r="O50" i="1"/>
  <c r="O82" i="1"/>
  <c r="O94" i="1"/>
  <c r="O65" i="1"/>
  <c r="O59" i="1"/>
  <c r="O88" i="1"/>
  <c r="O93" i="1"/>
  <c r="O85" i="1"/>
  <c r="O84" i="1"/>
  <c r="O89" i="1"/>
  <c r="O77" i="1"/>
  <c r="O92" i="1"/>
  <c r="O80" i="1"/>
  <c r="O95" i="1"/>
  <c r="O53" i="1"/>
  <c r="O60" i="1"/>
  <c r="O74" i="1"/>
  <c r="O38" i="1"/>
  <c r="O63" i="1"/>
  <c r="O56" i="1"/>
  <c r="O14" i="1"/>
  <c r="O4" i="1"/>
  <c r="O40" i="1"/>
  <c r="O39" i="1"/>
  <c r="O8" i="1"/>
  <c r="O19" i="1"/>
  <c r="O23" i="1"/>
  <c r="O90" i="1"/>
  <c r="O83" i="1"/>
  <c r="O48" i="1"/>
  <c r="O78" i="1"/>
  <c r="O71" i="1"/>
  <c r="O52" i="1"/>
  <c r="O15" i="1"/>
  <c r="O66" i="1"/>
  <c r="O72" i="1"/>
  <c r="O62" i="1"/>
  <c r="O46" i="1"/>
  <c r="O61" i="1"/>
  <c r="O12" i="1"/>
  <c r="O5" i="1"/>
  <c r="O64" i="1"/>
  <c r="O68" i="1"/>
  <c r="O41" i="1"/>
  <c r="O76" i="1"/>
  <c r="O25" i="1"/>
  <c r="O2" i="1"/>
  <c r="O9" i="1"/>
  <c r="O6" i="1"/>
  <c r="O45" i="1"/>
  <c r="O57" i="1"/>
  <c r="O32" i="1"/>
  <c r="O51" i="1"/>
  <c r="O21" i="1"/>
  <c r="O69" i="1"/>
  <c r="O54" i="1"/>
  <c r="O36" i="1"/>
  <c r="O58" i="1"/>
  <c r="O73" i="1"/>
  <c r="O70" i="1"/>
  <c r="O30" i="1"/>
  <c r="O37" i="1"/>
  <c r="O35" i="1"/>
  <c r="O75" i="1"/>
  <c r="O87" i="1"/>
  <c r="O67" i="1"/>
  <c r="O13" i="1"/>
  <c r="O20" i="1"/>
  <c r="O81" i="1"/>
  <c r="O16" i="1"/>
  <c r="O43" i="1"/>
  <c r="O24" i="1"/>
  <c r="O31" i="1"/>
  <c r="O79" i="1"/>
  <c r="O34" i="1"/>
  <c r="O91" i="1"/>
  <c r="O42" i="1"/>
  <c r="O11" i="1"/>
  <c r="O44" i="1"/>
  <c r="O7" i="1"/>
  <c r="O33" i="1"/>
  <c r="O27" i="1"/>
  <c r="O47" i="1"/>
  <c r="O55" i="1"/>
  <c r="O22" i="1"/>
  <c r="O26" i="1"/>
  <c r="O29" i="1"/>
  <c r="O49" i="1"/>
  <c r="O17" i="1"/>
  <c r="O86" i="1"/>
  <c r="O10" i="1"/>
  <c r="Q74" i="4" l="1"/>
  <c r="Q82" i="4"/>
  <c r="Q21" i="4"/>
  <c r="Q61" i="4"/>
  <c r="Q31" i="4"/>
  <c r="Q48" i="4"/>
  <c r="Q3" i="4"/>
  <c r="Q93" i="4"/>
  <c r="Q112" i="4"/>
  <c r="Q30" i="4"/>
  <c r="Q38" i="4"/>
  <c r="Q29" i="4"/>
  <c r="Q22" i="4"/>
  <c r="Q80" i="4"/>
  <c r="Q58" i="4"/>
  <c r="Q47" i="4"/>
  <c r="Q51" i="4"/>
  <c r="Q73" i="4"/>
  <c r="Q62" i="4"/>
  <c r="Q8" i="4"/>
  <c r="Q87" i="4"/>
  <c r="Q7" i="4"/>
  <c r="Q72" i="4"/>
  <c r="Q71" i="4"/>
  <c r="Q110" i="4"/>
  <c r="Q79" i="4"/>
  <c r="Q18" i="4"/>
  <c r="Q50" i="4"/>
  <c r="Q105" i="4"/>
  <c r="Q77" i="4"/>
  <c r="Q95" i="4"/>
  <c r="Q66" i="4"/>
  <c r="Q114" i="4"/>
  <c r="Q92" i="4"/>
  <c r="Q36" i="4"/>
  <c r="Q20" i="4"/>
  <c r="Q106" i="4"/>
  <c r="Q19" i="4"/>
  <c r="Q90" i="4"/>
  <c r="Q91" i="4"/>
  <c r="Q16" i="4"/>
  <c r="Q25" i="4"/>
  <c r="Q96" i="4"/>
  <c r="Q5" i="4"/>
  <c r="Q88" i="4"/>
  <c r="Q83" i="4"/>
  <c r="Q12" i="4"/>
  <c r="Q39" i="4"/>
  <c r="Q64" i="4"/>
  <c r="Q99" i="4"/>
  <c r="Q32" i="4"/>
  <c r="Q44" i="4"/>
  <c r="Q65" i="4"/>
  <c r="Q15" i="4"/>
  <c r="Q63" i="4"/>
  <c r="Q102" i="4"/>
  <c r="Q28" i="4"/>
  <c r="Q4" i="4"/>
  <c r="Q37" i="4"/>
  <c r="Q69" i="4"/>
  <c r="Q49" i="4"/>
  <c r="Q33" i="4"/>
  <c r="Q100" i="4"/>
  <c r="Q59" i="4"/>
  <c r="Q34" i="4"/>
  <c r="Q14" i="4"/>
  <c r="Q68" i="4"/>
  <c r="Q98" i="4"/>
  <c r="Q54" i="4"/>
  <c r="Q75" i="4"/>
  <c r="Q111" i="4"/>
  <c r="Q115" i="4"/>
  <c r="Q97" i="4"/>
  <c r="Q35" i="4"/>
  <c r="Q24" i="4"/>
  <c r="Q41" i="4"/>
  <c r="Q52" i="4"/>
  <c r="Q42" i="4"/>
  <c r="Q56" i="4"/>
  <c r="Q13" i="4"/>
  <c r="Q107" i="4"/>
  <c r="Q101" i="4"/>
  <c r="Q116" i="4"/>
  <c r="Q89" i="4"/>
  <c r="Q11" i="4"/>
  <c r="Q27" i="4"/>
  <c r="Q81" i="4"/>
  <c r="Q43" i="4"/>
  <c r="Q103" i="4"/>
  <c r="Q86" i="4"/>
  <c r="Q108" i="4"/>
  <c r="Q60" i="4"/>
  <c r="Q70" i="4"/>
  <c r="Q23" i="4"/>
  <c r="Q55" i="4"/>
  <c r="Q2" i="4"/>
  <c r="Q45" i="4"/>
  <c r="Q46" i="4"/>
  <c r="Q53" i="4"/>
  <c r="Q57" i="4"/>
  <c r="Q9" i="4"/>
  <c r="Q10" i="4"/>
  <c r="Q78" i="4"/>
  <c r="Q17" i="4"/>
  <c r="Q84" i="4"/>
  <c r="Q76" i="4"/>
  <c r="Q40" i="4"/>
  <c r="Q104" i="4"/>
  <c r="Q94" i="4"/>
  <c r="Q109" i="4"/>
  <c r="Q26" i="4"/>
  <c r="Q85" i="4"/>
  <c r="Q67" i="4"/>
  <c r="Q6" i="4"/>
  <c r="Q113" i="4"/>
  <c r="Q90" i="1"/>
  <c r="Q92" i="1"/>
  <c r="Q85" i="1"/>
  <c r="Q34" i="1"/>
  <c r="Q73" i="1"/>
  <c r="Q65" i="1"/>
  <c r="Q41" i="1"/>
  <c r="Q55" i="1"/>
  <c r="Q29" i="1"/>
  <c r="Q43" i="1"/>
  <c r="Q69" i="1"/>
  <c r="Q12" i="1"/>
  <c r="Q39" i="1"/>
  <c r="Q49" i="1"/>
  <c r="Q22" i="1"/>
  <c r="Q94" i="1"/>
  <c r="Q13" i="1"/>
  <c r="Q32" i="1"/>
  <c r="Q72" i="1"/>
  <c r="Q56" i="1"/>
  <c r="Q44" i="1"/>
  <c r="Q35" i="1"/>
  <c r="Q9" i="1"/>
  <c r="Q71" i="1"/>
  <c r="Q60" i="1"/>
  <c r="Q3" i="1"/>
  <c r="Q11" i="1"/>
  <c r="Q79" i="1"/>
  <c r="Q16" i="1"/>
  <c r="Q67" i="1"/>
  <c r="Q37" i="1"/>
  <c r="Q58" i="1"/>
  <c r="Q21" i="1"/>
  <c r="Q57" i="1"/>
  <c r="Q2" i="1"/>
  <c r="Q68" i="1"/>
  <c r="Q61" i="1"/>
  <c r="Q66" i="1"/>
  <c r="Q78" i="1"/>
  <c r="Q23" i="1"/>
  <c r="Q63" i="1"/>
  <c r="Q77" i="1"/>
  <c r="Q82" i="1"/>
  <c r="Q47" i="1"/>
  <c r="Q42" i="1"/>
  <c r="Q31" i="1"/>
  <c r="Q81" i="1"/>
  <c r="Q87" i="1"/>
  <c r="Q30" i="1"/>
  <c r="Q36" i="1"/>
  <c r="Q18" i="1"/>
  <c r="Q45" i="1"/>
  <c r="Q25" i="1"/>
  <c r="Q64" i="1"/>
  <c r="Q46" i="1"/>
  <c r="Q15" i="1"/>
  <c r="Q48" i="1"/>
  <c r="Q19" i="1"/>
  <c r="Q4" i="1"/>
  <c r="Q38" i="1"/>
  <c r="Q95" i="1"/>
  <c r="Q89" i="1"/>
  <c r="Q88" i="1"/>
  <c r="Q50" i="1"/>
  <c r="Q27" i="1"/>
  <c r="Q86" i="1"/>
  <c r="Q26" i="1"/>
  <c r="R94" i="1"/>
  <c r="R3" i="1"/>
  <c r="R2" i="1"/>
  <c r="Q40" i="1"/>
  <c r="Q53" i="1"/>
  <c r="Q93" i="1"/>
  <c r="Q7" i="1"/>
  <c r="Q10" i="1"/>
  <c r="Q91" i="1"/>
  <c r="Q24" i="1"/>
  <c r="Q20" i="1"/>
  <c r="Q75" i="1"/>
  <c r="Q70" i="1"/>
  <c r="Q54" i="1"/>
  <c r="Q51" i="1"/>
  <c r="Q6" i="1"/>
  <c r="Q76" i="1"/>
  <c r="Q5" i="1"/>
  <c r="Q62" i="1"/>
  <c r="Q52" i="1"/>
  <c r="Q83" i="1"/>
  <c r="Q8" i="1"/>
  <c r="Q14" i="1"/>
  <c r="Q74" i="1"/>
  <c r="Q80" i="1"/>
  <c r="Q84" i="1"/>
  <c r="Q59" i="1"/>
  <c r="Q28" i="1"/>
  <c r="Q33" i="1"/>
  <c r="Q17" i="1"/>
</calcChain>
</file>

<file path=xl/sharedStrings.xml><?xml version="1.0" encoding="utf-8"?>
<sst xmlns="http://schemas.openxmlformats.org/spreadsheetml/2006/main" count="702" uniqueCount="144">
  <si>
    <t>N°</t>
  </si>
  <si>
    <t>Nom &amp; Prénom</t>
  </si>
  <si>
    <t>Soro Zaharata</t>
  </si>
  <si>
    <t>Maiga Nématou</t>
  </si>
  <si>
    <t>Soro Abdoulaye</t>
  </si>
  <si>
    <t>Sawadogo Samadou</t>
  </si>
  <si>
    <t>Sawadogo Halim</t>
  </si>
  <si>
    <t>Sawadogo Abdoul Hakim</t>
  </si>
  <si>
    <t>Sawadogo Ramata</t>
  </si>
  <si>
    <t>Maiga Rachidatou</t>
  </si>
  <si>
    <t>Maiga Zalissa</t>
  </si>
  <si>
    <t>Sawadogo Fatimata Bintou Zaharaou</t>
  </si>
  <si>
    <t>Badini Zaharaou</t>
  </si>
  <si>
    <t>Belem Idrissa</t>
  </si>
  <si>
    <t>Badini Oumou Hayra</t>
  </si>
  <si>
    <t>Ouédraogo Moustapha</t>
  </si>
  <si>
    <t>Sawadogo Bibata de Rasmané</t>
  </si>
  <si>
    <t>Guiro Faousiatou</t>
  </si>
  <si>
    <t>Sawadogo Ladifatou</t>
  </si>
  <si>
    <t>Ouédraogo Sakinatou</t>
  </si>
  <si>
    <t>Sawadogo Awa</t>
  </si>
  <si>
    <t>Kindo Gisèle</t>
  </si>
  <si>
    <t>Maiga Nouriatou</t>
  </si>
  <si>
    <t>Maiga Ouassilatou</t>
  </si>
  <si>
    <t>Ouédraogo Nouriatou</t>
  </si>
  <si>
    <t>Sawadogo Bibata de Aziz</t>
  </si>
  <si>
    <t>Maiga Imane</t>
  </si>
  <si>
    <t>Badini Mouhaïmine</t>
  </si>
  <si>
    <t>Sawadogo Rainatou</t>
  </si>
  <si>
    <t>Badini Abdoul Doudousse</t>
  </si>
  <si>
    <t>Sawadogo Guelilou</t>
  </si>
  <si>
    <t>Ouédraogo Kassoum</t>
  </si>
  <si>
    <t>Kindo Hamadé</t>
  </si>
  <si>
    <t>Sawadogo Razack</t>
  </si>
  <si>
    <t>Zango Ali</t>
  </si>
  <si>
    <t>Sawadogo Abdoul Fatao</t>
  </si>
  <si>
    <t>Kindo Boureima</t>
  </si>
  <si>
    <t>Kindo Sidiki</t>
  </si>
  <si>
    <t>Boena Djémilatou</t>
  </si>
  <si>
    <t>Maiga Kaoussara</t>
  </si>
  <si>
    <t>Kindo Mouhsine</t>
  </si>
  <si>
    <t>Ouédraogo Awa</t>
  </si>
  <si>
    <t>Ouédraogo Mariam</t>
  </si>
  <si>
    <t>Badini Asséta</t>
  </si>
  <si>
    <t>Sawadogo Fatimata</t>
  </si>
  <si>
    <t>Sawadogo Adja Rainatou</t>
  </si>
  <si>
    <t>Maiga Zeonabou</t>
  </si>
  <si>
    <t>Gassambé Aminata</t>
  </si>
  <si>
    <t>Sawadogo Fatao de Boukari</t>
  </si>
  <si>
    <t>Ouédraogo Adama</t>
  </si>
  <si>
    <t>Badini Awa</t>
  </si>
  <si>
    <t>Sawadogo Assami</t>
  </si>
  <si>
    <t>Sawadogo Imane de Hamadé</t>
  </si>
  <si>
    <t>Sawadogo Nafissatou</t>
  </si>
  <si>
    <t>Sawadogo Ilham</t>
  </si>
  <si>
    <t>Sana Awa</t>
  </si>
  <si>
    <t>Badini Ousmane</t>
  </si>
  <si>
    <t>Sawadogo Issaka</t>
  </si>
  <si>
    <t>Maiga Moubarick</t>
  </si>
  <si>
    <t>Sawadogo Sidi Mohamed</t>
  </si>
  <si>
    <t>Sawadogo Halidou</t>
  </si>
  <si>
    <t>Sawadogo Oumou Kolsouma de Moctar</t>
  </si>
  <si>
    <t>Sawadogo Guemalou</t>
  </si>
  <si>
    <t>Ouédraogo Madi</t>
  </si>
  <si>
    <t>Ouédraogo Habibou</t>
  </si>
  <si>
    <t>Sana Charifatou</t>
  </si>
  <si>
    <t>Ouédraogo Fatimata</t>
  </si>
  <si>
    <t>Maiga Moubassirou</t>
  </si>
  <si>
    <t>Sawadogo Daha</t>
  </si>
  <si>
    <t>Sawadogo Habiboulaye</t>
  </si>
  <si>
    <t>Sawadogo Bassirou</t>
  </si>
  <si>
    <t>Kindo Fatao</t>
  </si>
  <si>
    <t>Ouédraogo Mamadi</t>
  </si>
  <si>
    <t>Belem Mouniratou</t>
  </si>
  <si>
    <t>Maiga Fadilatou</t>
  </si>
  <si>
    <t>Kindo Mouhidine</t>
  </si>
  <si>
    <t>Sawadogo Salam</t>
  </si>
  <si>
    <t>Sana Ramata</t>
  </si>
  <si>
    <t>Sawadogo Harouna</t>
  </si>
  <si>
    <t>Belem Aziz</t>
  </si>
  <si>
    <t>Ouédraogo Mouhaïmine</t>
  </si>
  <si>
    <t>Maiga Sahadatou</t>
  </si>
  <si>
    <t>Sawadogo Asmaou</t>
  </si>
  <si>
    <t>Badini Safoura</t>
  </si>
  <si>
    <t>Ouédraogo Asséta</t>
  </si>
  <si>
    <t>Kindo Mounira</t>
  </si>
  <si>
    <t>Kindo Oumou Hayra</t>
  </si>
  <si>
    <t>Kindo Limata</t>
  </si>
  <si>
    <t>Kindo Fadilatou</t>
  </si>
  <si>
    <t>Boena Rainatou</t>
  </si>
  <si>
    <t>Exercices d'obsevation</t>
  </si>
  <si>
    <t>Lecture</t>
  </si>
  <si>
    <t>Copie</t>
  </si>
  <si>
    <t>Dessin</t>
  </si>
  <si>
    <t>Total</t>
  </si>
  <si>
    <t>Moyenne</t>
  </si>
  <si>
    <t>Rang</t>
  </si>
  <si>
    <t>Observation</t>
  </si>
  <si>
    <t xml:space="preserve">Sawadogo Oumou-koulsoum de Youssouf </t>
  </si>
  <si>
    <t xml:space="preserve">Écriture </t>
  </si>
  <si>
    <t xml:space="preserve">Dictée </t>
  </si>
  <si>
    <t xml:space="preserve">Calcul </t>
  </si>
  <si>
    <t>TIC</t>
  </si>
  <si>
    <t>Expression
 orale</t>
  </si>
  <si>
    <t>Recit/
chant</t>
  </si>
  <si>
    <t xml:space="preserve">Kindo Ibrahim de Saidou </t>
  </si>
  <si>
    <t>Kindo Oussama</t>
  </si>
  <si>
    <t xml:space="preserve">Kindo Zalissa </t>
  </si>
  <si>
    <t xml:space="preserve">Ouédraogo Issa </t>
  </si>
  <si>
    <t xml:space="preserve">Sawadogo Imam de Amidou </t>
  </si>
  <si>
    <t>OUEDRAOGO Banane</t>
  </si>
  <si>
    <t>OUEDRAOGO Aguiratou</t>
  </si>
  <si>
    <t>SAWADOGO Soumayatou</t>
  </si>
  <si>
    <t>OUEDRAOGO Oumou Salmata</t>
  </si>
  <si>
    <t>MAIGA Zaharaou</t>
  </si>
  <si>
    <t>MAIGA Aziz</t>
  </si>
  <si>
    <t>SAWADOGO Nouroudine</t>
  </si>
  <si>
    <t>MAIGA Mouhsine</t>
  </si>
  <si>
    <t>SAWADOGO Sidi Madi</t>
  </si>
  <si>
    <t>OUEDRAOGO Djamilatou</t>
  </si>
  <si>
    <t>OUEDRAOGO Hakim</t>
  </si>
  <si>
    <t>SAWADOGO Mahamadi</t>
  </si>
  <si>
    <t>OUEDRAOGO Ouassilatou</t>
  </si>
  <si>
    <t>KINDO Balguissa</t>
  </si>
  <si>
    <t>SAWADOGO Ouda</t>
  </si>
  <si>
    <t>MAIGA Malikatou</t>
  </si>
  <si>
    <t>MAIGA Koulsouma</t>
  </si>
  <si>
    <t>MAIGA Guelalou</t>
  </si>
  <si>
    <t>Maiga Moubarack</t>
  </si>
  <si>
    <t>GADIAGA Yacouba</t>
  </si>
  <si>
    <t xml:space="preserve">SAWADOGO Habiboulaye de Moustapha </t>
  </si>
  <si>
    <t xml:space="preserve">Sawadogo Habiboulaye de Boureima </t>
  </si>
  <si>
    <t>Sawadogo Harouna de Ali</t>
  </si>
  <si>
    <t xml:space="preserve">SAWADOGO Harouna de Rasmané </t>
  </si>
  <si>
    <t xml:space="preserve">Sawadogo Sidi Mohamed Abdoulaye </t>
  </si>
  <si>
    <t>Sawadogo Sidi Mohamed de Moussa</t>
  </si>
  <si>
    <t>EMC</t>
  </si>
  <si>
    <t>Sawadogo Raynatou</t>
  </si>
  <si>
    <t>Boena Raynatou</t>
  </si>
  <si>
    <t xml:space="preserve">Sawadogo Harouna de Abdoulaye </t>
  </si>
  <si>
    <t>OUEDRAOGO Guemilatou</t>
  </si>
  <si>
    <t>Sexe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</si>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</sst>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Times New Roman"/>
      <family val="1"/>
    </font>
    <font>
      <sz val="11"/>
      <color theme="1"/>
      <name val="Calibri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0" fillId="2" borderId="0" xfId="0" applyFill="1"/>
    <xf numFmtId="0" fontId="4" fillId="2" borderId="0" xfId="0" applyFont="1" applyFill="1"/>
    <xf numFmtId="0" fontId="6" fillId="2" borderId="1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43" fontId="2" fillId="0" borderId="3" xfId="0" applyNumberFormat="1" applyFont="1" applyBorder="1" applyAlignment="1">
      <alignment vertical="center" wrapText="1"/>
    </xf>
    <xf numFmtId="43" fontId="6" fillId="0" borderId="3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43" fontId="6" fillId="2" borderId="3" xfId="0" applyNumberFormat="1" applyFont="1" applyFill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43" fontId="3" fillId="0" borderId="3" xfId="0" applyNumberFormat="1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 wrapText="1"/>
    </xf>
  </cellXfs>
  <cellStyles count="1">
    <cellStyle name="Normal" xfId="0" builtinId="0"/>
  </cellStyles>
  <dxfs count="6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5" formatCode="_-* #,##0.00_-;\-* #,##0.00_-;_-* &quot;-&quot;??_-;_-@_-"/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numFmt numFmtId="35" formatCode="_-* #,##0.00_-;\-* #,##0.00_-;_-* &quot;-&quot;??_-;_-@_-"/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5" formatCode="_-* #,##0.00_-;\-* #,##0.00_-;_-* &quot;-&quot;??_-;_-@_-"/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o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Notes"/>
    </sheetNames>
    <sheetDataSet>
      <sheetData sheetId="0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665256-4D1D-44FB-BB0B-1CFE1F29F838}" name="Tableau1" displayName="Tableau1" ref="A1:R95" totalsRowShown="0" headerRowDxfId="64" headerRowBorderDxfId="63" tableBorderDxfId="62" totalsRowBorderDxfId="61">
  <autoFilter ref="A1:R95" xr:uid="{826EFEED-89D6-4015-A6A4-63882FC760FE}"/>
  <sortState xmlns:xlrd2="http://schemas.microsoft.com/office/spreadsheetml/2017/richdata2" ref="A2:R95">
    <sortCondition ref="Q1:Q95"/>
  </sortState>
  <tableColumns count="18">
    <tableColumn id="1" xr3:uid="{300ECC51-6E9B-4E11-AD3E-7C05EAAA770E}" name="N°" dataDxfId="60"/>
    <tableColumn id="2" xr3:uid="{D7ECC767-8773-4ED1-9E58-2765385581F9}" name="Nom &amp; Prénom" dataDxfId="59"/>
    <tableColumn id="17" xr3:uid="{4B38A864-1D0C-48B8-9DD7-579EE3752EE9}" name="Sexe" dataDxfId="0"/>
    <tableColumn id="7" xr3:uid="{971CF55B-C425-457D-84A4-49C9B6D7F177}" name="Exercices d'obsevation" dataDxfId="58"/>
    <tableColumn id="6" xr3:uid="{A51DD12B-1C52-4F49-9687-F0D8007D69B9}" name="Expression_x000a_ orale" dataDxfId="57"/>
    <tableColumn id="11" xr3:uid="{C1CC0052-256D-4934-B8F5-D92EE7FEFDD9}" name="Recit/_x000a_chant" dataDxfId="56"/>
    <tableColumn id="10" xr3:uid="{89865866-95ED-4236-8489-2B71112617B6}" name="Lecture" dataDxfId="55"/>
    <tableColumn id="9" xr3:uid="{7F7120CB-2004-4093-9E8A-CBFF114F09AF}" name="Écriture " dataDxfId="54"/>
    <tableColumn id="8" xr3:uid="{04D86752-B709-4ADC-B818-87BD0BFD221C}" name="Copie" dataDxfId="53"/>
    <tableColumn id="13" xr3:uid="{CFE3A29A-AB4B-4DE1-862E-3BFFDDC65F48}" name="Dictée " dataDxfId="52"/>
    <tableColumn id="12" xr3:uid="{8C73A674-6993-4CDA-B4D4-89E92E1136D3}" name="Dessin" dataDxfId="51"/>
    <tableColumn id="16" xr3:uid="{34C0E6BE-32D9-9342-A706-A2F9883F15BE}" name="Calcul " dataDxfId="50"/>
    <tableColumn id="18" xr3:uid="{10BDBEA1-9F56-4D01-82AF-93AD05329E5F}" name="EMC" dataDxfId="49"/>
    <tableColumn id="4" xr3:uid="{97E50BB1-D7C2-4489-9068-63D9158B2158}" name="TIC" dataDxfId="48"/>
    <tableColumn id="14" xr3:uid="{329A4EED-4AAD-4CF8-91AA-93A6B84531CA}" name="Total" dataDxfId="47">
      <calculatedColumnFormula>SUM(Tableau1[[#This Row],[Exercices d''obsevation]:[Dessin]])</calculatedColumnFormula>
    </tableColumn>
    <tableColumn id="15" xr3:uid="{4199D5F2-5718-4553-9CDC-6B28F701CAE3}" name="Moyenne" dataDxfId="46">
      <calculatedColumnFormula>AVERAGE(Tableau1[[#This Row],[Exercices d''obsevation]:[TIC]])</calculatedColumnFormula>
    </tableColumn>
    <tableColumn id="5" xr3:uid="{72AC21D7-C183-4B47-BB7C-600CEFD167A6}" name="Rang" dataDxfId="45">
      <calculatedColumnFormula>RANK(Tableau1[[#This Row],[Moyenne]],Tableau1[Moyenne],0)</calculatedColumnFormula>
    </tableColumn>
    <tableColumn id="3" xr3:uid="{B60C3CAF-DF5F-471C-ADE4-C751632C0D26}" name="Observation" dataDxfId="44">
      <calculatedColumnFormula>IF(Tableau1[[#This Row],[Moyenne]]&gt;=5,"Validé","Non validé")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BDB1CE-B645-4626-A1CE-4D80542A4E10}" name="Tableau13" displayName="Tableau13" ref="A1:R116" totalsRowShown="0" headerRowDxfId="43" dataDxfId="41" headerRowBorderDxfId="42" tableBorderDxfId="40" totalsRowBorderDxfId="39">
  <autoFilter ref="A1:R116" xr:uid="{12BDB1CE-B645-4626-A1CE-4D80542A4E10}"/>
  <sortState xmlns:xlrd2="http://schemas.microsoft.com/office/spreadsheetml/2017/richdata2" ref="A2:R116">
    <sortCondition ref="Q1:Q116"/>
  </sortState>
  <tableColumns count="18">
    <tableColumn id="1" xr3:uid="{09727154-8834-4296-B53B-8C8D47033968}" name="N°" dataDxfId="38"/>
    <tableColumn id="2" xr3:uid="{520B23E3-A318-4C72-B821-DA7FB4C80DBD}" name="Nom &amp; Prénom" dataDxfId="37"/>
    <tableColumn id="19" xr3:uid="{4D618E8E-5CEC-492B-8DBB-776B812C7B10}" name="Sexe"/>
    <tableColumn id="7" xr3:uid="{34736234-758A-4E60-A0A9-1CD14298AB82}" name="Exercices d'obsevation" dataDxfId="36"/>
    <tableColumn id="6" xr3:uid="{2E946F33-971F-478C-BA30-37C09B1C8AF2}" name="Expression_x000a_ orale" dataDxfId="35"/>
    <tableColumn id="11" xr3:uid="{BF0131B4-5BB3-4A8A-8AF2-E2131F95FE01}" name="Recit/_x000a_chant" dataDxfId="34"/>
    <tableColumn id="10" xr3:uid="{DBCC41D0-1ECA-43F0-B1F5-1569052CB98C}" name="Lecture" dataDxfId="33"/>
    <tableColumn id="9" xr3:uid="{E76FAD61-C556-4701-BEB1-943D34A71738}" name="Écriture " dataDxfId="32"/>
    <tableColumn id="8" xr3:uid="{1DC2BB26-4B2A-421F-8165-B2F525B11DE4}" name="Copie" dataDxfId="31"/>
    <tableColumn id="13" xr3:uid="{09E6CEB6-7FCE-469E-BA05-522DD951E129}" name="Dictée " dataDxfId="30"/>
    <tableColumn id="12" xr3:uid="{4F4C1FAD-0405-4806-A504-E30E981170AB}" name="Dessin" dataDxfId="29"/>
    <tableColumn id="16" xr3:uid="{BE5D1BBC-BA37-48E0-B40F-F6CD01DC7D6C}" name="Calcul " dataDxfId="28"/>
    <tableColumn id="17" xr3:uid="{46503EF7-1042-42A3-8DC8-C901ECFF1831}" name="EMC" dataDxfId="27"/>
    <tableColumn id="4" xr3:uid="{2F629709-B89B-423E-B1D8-510C1371EE6F}" name="TIC" dataDxfId="26"/>
    <tableColumn id="14" xr3:uid="{5423C869-25C6-418A-8AFE-043DABFCFEE6}" name="Total" dataDxfId="25">
      <calculatedColumnFormula>SUM(Tableau13[[#This Row],[Exercices d''obsevation]:[TIC]])</calculatedColumnFormula>
    </tableColumn>
    <tableColumn id="15" xr3:uid="{BB9A0B8E-1FAE-43BF-AC2D-63583557D3B2}" name="Moyenne" dataDxfId="24">
      <calculatedColumnFormula>AVERAGE(Tableau13[[#This Row],[Exercices d''obsevation]:[TIC]])</calculatedColumnFormula>
    </tableColumn>
    <tableColumn id="5" xr3:uid="{CF502B96-45A5-4BC2-AECB-37A0CBDE8B6A}" name="Rang" dataDxfId="23">
      <calculatedColumnFormula>RANK(Tableau13[[#This Row],[Moyenne]],Tableau13[Moyenne],0)</calculatedColumnFormula>
    </tableColumn>
    <tableColumn id="3" xr3:uid="{3E2F9729-7BA9-40EB-A5E7-96563DCC8A8D}" name="Observation" dataDxfId="22">
      <calculatedColumnFormula>IF([1]!Tableau13[[#This Row],[Moyenne]]&gt;=5,"Validé","Non validé")</calculatedColumnFormula>
    </tableColumn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A11E01-7C87-4D00-BAE4-6E393AA34AEB}" name="Tableau135" displayName="Tableau135" ref="A1:R116" totalsRowShown="0" headerRowDxfId="21" headerRowBorderDxfId="20" tableBorderDxfId="19" totalsRowBorderDxfId="18">
  <autoFilter ref="A1:R116" xr:uid="{26A11E01-7C87-4D00-BAE4-6E393AA34AEB}"/>
  <sortState xmlns:xlrd2="http://schemas.microsoft.com/office/spreadsheetml/2017/richdata2" ref="A2:R116">
    <sortCondition ref="Q1:Q116"/>
  </sortState>
  <tableColumns count="18">
    <tableColumn id="1" xr3:uid="{DF6E8E77-DC3C-4652-BB67-1A51B5EC048A}" name="N°" dataDxfId="17"/>
    <tableColumn id="2" xr3:uid="{BBCFA0E2-1A52-48CE-A334-0C26F074F036}" name="Nom &amp; Prénom" dataDxfId="16"/>
    <tableColumn id="18" xr3:uid="{522590B1-55F0-4524-A306-B6123994C32C}" name="Sexe" dataDxfId="1"/>
    <tableColumn id="7" xr3:uid="{B16773E2-EE57-4171-9D0E-FF7AFE468FAC}" name="Exercices d'obsevation" dataDxfId="15"/>
    <tableColumn id="6" xr3:uid="{17895C7E-F672-440B-8AB7-14F6292C0D6F}" name="Expression_x000a_ orale" dataDxfId="14"/>
    <tableColumn id="11" xr3:uid="{E7B9B00D-B8FE-4149-87EF-BD01822B4DEC}" name="Recit/_x000a_chant" dataDxfId="13"/>
    <tableColumn id="10" xr3:uid="{67D4AECF-BB2C-4000-8AD8-8EC83703D014}" name="Lecture" dataDxfId="12"/>
    <tableColumn id="9" xr3:uid="{CDEA3B65-2822-4B81-9F3F-97616CE624B8}" name="Écriture " dataDxfId="11"/>
    <tableColumn id="8" xr3:uid="{7A744C81-6AE7-4A29-A99C-4E035B8C6BDB}" name="Copie" dataDxfId="10"/>
    <tableColumn id="13" xr3:uid="{3367A20C-3F14-4FFE-84D7-E2BF359361BF}" name="Dictée " dataDxfId="9"/>
    <tableColumn id="12" xr3:uid="{426CF905-1BF2-4F2B-92AC-5FDD3AAB9372}" name="Dessin" dataDxfId="8"/>
    <tableColumn id="16" xr3:uid="{F9951EFD-B9A7-4A05-80BF-2B817D57FFCB}" name="Calcul " dataDxfId="7"/>
    <tableColumn id="17" xr3:uid="{6F339CA0-3782-409B-94CC-04EEDDD7E72A}" name="EMC"/>
    <tableColumn id="4" xr3:uid="{C21EE264-2658-4134-9191-3F80E077F205}" name="TIC" dataDxfId="6"/>
    <tableColumn id="14" xr3:uid="{07FEAB2C-F3AD-45EC-8901-7D64F4108CEB}" name="Total" dataDxfId="5">
      <calculatedColumnFormula>SUM(Tableau135[[#This Row],[Exercices d''obsevation]:[TIC]])</calculatedColumnFormula>
    </tableColumn>
    <tableColumn id="15" xr3:uid="{EDA72B8B-5247-4C6E-A517-482EF5A645F4}" name="Moyenne" dataDxfId="4">
      <calculatedColumnFormula>AVERAGE(Tableau135[[#This Row],[Exercices d''obsevation]:[TIC]])</calculatedColumnFormula>
    </tableColumn>
    <tableColumn id="5" xr3:uid="{8BAF43AE-5632-4E64-A149-4C4DD99DEFD5}" name="Rang" dataDxfId="3">
      <calculatedColumnFormula>RANK(Tableau135[[#This Row],[Moyenne]],Tableau135[Moyenne],0)</calculatedColumnFormula>
    </tableColumn>
    <tableColumn id="3" xr3:uid="{D0A71CA7-AFF0-4B28-8410-3E6EA3CF3D5C}" name="Observation" dataDxfId="2">
      <calculatedColumnFormula>IF(Tableau135[[#This Row],[Moyenne]]&lt;5,"Non Validé","Validé")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3480-0AEB-4512-9BC8-8AB929AF2066}">
  <dimension ref="A1:R101"/>
  <sheetViews>
    <sheetView topLeftCell="D92" workbookViewId="0">
      <selection activeCell="B73" sqref="B73"/>
    </sheetView>
  </sheetViews>
  <sheetFormatPr baseColWidth="10" defaultColWidth="10.7109375" defaultRowHeight="15" x14ac:dyDescent="0.25"/>
  <cols>
    <col min="1" max="1" width="6.7109375" customWidth="1"/>
    <col min="2" max="2" width="31.85546875" customWidth="1"/>
    <col min="3" max="3" width="10.28515625" customWidth="1"/>
    <col min="4" max="4" width="15" customWidth="1"/>
    <col min="5" max="5" width="13.42578125" customWidth="1"/>
    <col min="6" max="6" width="11.28515625" customWidth="1"/>
    <col min="7" max="7" width="11.140625" customWidth="1"/>
    <col min="8" max="8" width="12.5703125" customWidth="1"/>
    <col min="9" max="9" width="11.5703125" customWidth="1"/>
    <col min="10" max="10" width="10.85546875" customWidth="1"/>
    <col min="11" max="11" width="12" customWidth="1"/>
    <col min="12" max="13" width="11.7109375" customWidth="1"/>
    <col min="14" max="14" width="8.5703125" customWidth="1"/>
    <col min="15" max="15" width="10.28515625" customWidth="1"/>
    <col min="16" max="16" width="13.85546875" customWidth="1"/>
    <col min="17" max="17" width="9" customWidth="1"/>
    <col min="18" max="18" width="15.28515625" customWidth="1"/>
  </cols>
  <sheetData>
    <row r="1" spans="1:18" ht="32.25" customHeight="1" thickBot="1" x14ac:dyDescent="0.3">
      <c r="A1" s="4" t="s">
        <v>0</v>
      </c>
      <c r="B1" s="5" t="s">
        <v>1</v>
      </c>
      <c r="C1" s="6" t="s">
        <v>141</v>
      </c>
      <c r="D1" s="6" t="s">
        <v>90</v>
      </c>
      <c r="E1" s="6" t="s">
        <v>103</v>
      </c>
      <c r="F1" s="6" t="s">
        <v>104</v>
      </c>
      <c r="G1" s="6" t="s">
        <v>91</v>
      </c>
      <c r="H1" s="6" t="s">
        <v>99</v>
      </c>
      <c r="I1" s="6" t="s">
        <v>92</v>
      </c>
      <c r="J1" s="6" t="s">
        <v>100</v>
      </c>
      <c r="K1" s="6" t="s">
        <v>93</v>
      </c>
      <c r="L1" s="6" t="s">
        <v>101</v>
      </c>
      <c r="M1" s="6" t="s">
        <v>136</v>
      </c>
      <c r="N1" s="6" t="s">
        <v>102</v>
      </c>
      <c r="O1" s="6" t="s">
        <v>94</v>
      </c>
      <c r="P1" s="6" t="s">
        <v>95</v>
      </c>
      <c r="Q1" s="6" t="s">
        <v>96</v>
      </c>
      <c r="R1" s="6" t="s">
        <v>97</v>
      </c>
    </row>
    <row r="2" spans="1:18" ht="24.95" customHeight="1" thickBot="1" x14ac:dyDescent="0.3">
      <c r="A2" s="2">
        <v>62</v>
      </c>
      <c r="B2" s="9" t="s">
        <v>45</v>
      </c>
      <c r="C2" s="12" t="s">
        <v>142</v>
      </c>
      <c r="D2" s="12">
        <v>10</v>
      </c>
      <c r="E2" s="12">
        <v>10</v>
      </c>
      <c r="F2" s="12">
        <v>10</v>
      </c>
      <c r="G2" s="12">
        <v>10</v>
      </c>
      <c r="H2" s="12">
        <v>9</v>
      </c>
      <c r="I2" s="12">
        <v>10</v>
      </c>
      <c r="J2" s="12">
        <v>10</v>
      </c>
      <c r="K2" s="12">
        <v>10</v>
      </c>
      <c r="L2" s="12">
        <v>9</v>
      </c>
      <c r="M2" s="12">
        <v>10</v>
      </c>
      <c r="N2" s="12">
        <v>10</v>
      </c>
      <c r="O2" s="14">
        <f>SUM(Tableau1[[#This Row],[Exercices d''obsevation]:[TIC]])</f>
        <v>108</v>
      </c>
      <c r="P2" s="26">
        <f>AVERAGE(Tableau1[[#This Row],[Exercices d''obsevation]:[TIC]])</f>
        <v>9.8181818181818183</v>
      </c>
      <c r="Q2" s="14">
        <f>RANK(Tableau1[[#This Row],[Moyenne]],Tableau1[Moyenne],0)</f>
        <v>1</v>
      </c>
      <c r="R2" s="10" t="str">
        <f>IF(Tableau1[[#This Row],[Moyenne]]&gt;=5,"Validé","Non validé")</f>
        <v>Validé</v>
      </c>
    </row>
    <row r="3" spans="1:18" ht="24.95" customHeight="1" thickBot="1" x14ac:dyDescent="0.3">
      <c r="A3" s="2">
        <v>13</v>
      </c>
      <c r="B3" s="9" t="s">
        <v>89</v>
      </c>
      <c r="C3" s="12" t="s">
        <v>142</v>
      </c>
      <c r="D3" s="12">
        <v>10</v>
      </c>
      <c r="E3" s="12">
        <v>10</v>
      </c>
      <c r="F3" s="12">
        <v>9</v>
      </c>
      <c r="G3" s="12">
        <v>10</v>
      </c>
      <c r="H3" s="12">
        <v>9</v>
      </c>
      <c r="I3" s="12">
        <v>10</v>
      </c>
      <c r="J3" s="12">
        <v>9</v>
      </c>
      <c r="K3" s="12">
        <v>10</v>
      </c>
      <c r="L3" s="12">
        <v>10</v>
      </c>
      <c r="M3" s="12">
        <v>10</v>
      </c>
      <c r="N3" s="12">
        <v>10</v>
      </c>
      <c r="O3" s="14">
        <f>SUM(Tableau1[[#This Row],[Exercices d''obsevation]:[TIC]])</f>
        <v>107</v>
      </c>
      <c r="P3" s="26">
        <f>AVERAGE(Tableau1[[#This Row],[Exercices d''obsevation]:[TIC]])</f>
        <v>9.7272727272727266</v>
      </c>
      <c r="Q3" s="14">
        <f>RANK(Tableau1[[#This Row],[Moyenne]],Tableau1[Moyenne],0)</f>
        <v>2</v>
      </c>
      <c r="R3" s="10" t="str">
        <f>IF(Tableau1[[#This Row],[Moyenne]]&gt;=5,"Validé","Non validé")</f>
        <v>Validé</v>
      </c>
    </row>
    <row r="4" spans="1:18" ht="24.95" customHeight="1" thickBot="1" x14ac:dyDescent="0.3">
      <c r="A4" s="2">
        <v>36</v>
      </c>
      <c r="B4" s="9" t="s">
        <v>22</v>
      </c>
      <c r="C4" s="12" t="s">
        <v>142</v>
      </c>
      <c r="D4" s="12">
        <v>10</v>
      </c>
      <c r="E4" s="12">
        <v>10</v>
      </c>
      <c r="F4" s="12">
        <v>10</v>
      </c>
      <c r="G4" s="12">
        <v>10</v>
      </c>
      <c r="H4" s="12">
        <v>9</v>
      </c>
      <c r="I4" s="12">
        <v>10</v>
      </c>
      <c r="J4" s="12">
        <v>10</v>
      </c>
      <c r="K4" s="12">
        <v>8</v>
      </c>
      <c r="L4" s="12">
        <v>10</v>
      </c>
      <c r="M4" s="12">
        <v>10</v>
      </c>
      <c r="N4" s="12">
        <v>10</v>
      </c>
      <c r="O4" s="14">
        <f>SUM(Tableau1[[#This Row],[Exercices d''obsevation]:[TIC]])</f>
        <v>107</v>
      </c>
      <c r="P4" s="26">
        <f>AVERAGE(Tableau1[[#This Row],[Exercices d''obsevation]:[TIC]])</f>
        <v>9.7272727272727266</v>
      </c>
      <c r="Q4" s="14">
        <f>RANK(Tableau1[[#This Row],[Moyenne]],Tableau1[Moyenne],0)</f>
        <v>2</v>
      </c>
      <c r="R4" s="10" t="str">
        <f>IF(Tableau1[[#This Row],[Moyenne]]&gt;=5,"Validé","Non validé")</f>
        <v>Validé</v>
      </c>
    </row>
    <row r="5" spans="1:18" ht="24.95" customHeight="1" thickBot="1" x14ac:dyDescent="0.3">
      <c r="A5" s="2">
        <v>56</v>
      </c>
      <c r="B5" s="9" t="s">
        <v>19</v>
      </c>
      <c r="C5" s="12" t="s">
        <v>142</v>
      </c>
      <c r="D5" s="12">
        <v>10</v>
      </c>
      <c r="E5" s="12">
        <v>10</v>
      </c>
      <c r="F5" s="12">
        <v>9</v>
      </c>
      <c r="G5" s="12">
        <v>10</v>
      </c>
      <c r="H5" s="12">
        <v>9</v>
      </c>
      <c r="I5" s="12">
        <v>10</v>
      </c>
      <c r="J5" s="12">
        <v>10</v>
      </c>
      <c r="K5" s="12">
        <v>9</v>
      </c>
      <c r="L5" s="12">
        <v>10</v>
      </c>
      <c r="M5" s="12">
        <v>10</v>
      </c>
      <c r="N5" s="12">
        <v>10</v>
      </c>
      <c r="O5" s="14">
        <f>SUM(Tableau1[[#This Row],[Exercices d''obsevation]:[TIC]])</f>
        <v>107</v>
      </c>
      <c r="P5" s="26">
        <f>AVERAGE(Tableau1[[#This Row],[Exercices d''obsevation]:[TIC]])</f>
        <v>9.7272727272727266</v>
      </c>
      <c r="Q5" s="14">
        <f>RANK(Tableau1[[#This Row],[Moyenne]],Tableau1[Moyenne],0)</f>
        <v>2</v>
      </c>
      <c r="R5" s="10" t="str">
        <f>IF(Tableau1[[#This Row],[Moyenne]]&gt;=5,"Validé","Non validé")</f>
        <v>Validé</v>
      </c>
    </row>
    <row r="6" spans="1:18" ht="24.95" customHeight="1" thickBot="1" x14ac:dyDescent="0.3">
      <c r="A6" s="2">
        <v>64</v>
      </c>
      <c r="B6" s="1" t="s">
        <v>51</v>
      </c>
      <c r="C6" s="44" t="s">
        <v>143</v>
      </c>
      <c r="D6" s="11">
        <v>10</v>
      </c>
      <c r="E6" s="11">
        <v>10</v>
      </c>
      <c r="F6" s="11">
        <v>9</v>
      </c>
      <c r="G6" s="11">
        <v>10</v>
      </c>
      <c r="H6" s="11">
        <v>9</v>
      </c>
      <c r="I6" s="11">
        <v>10</v>
      </c>
      <c r="J6" s="11">
        <v>9</v>
      </c>
      <c r="K6" s="11">
        <v>10</v>
      </c>
      <c r="L6" s="11">
        <v>10</v>
      </c>
      <c r="M6" s="12">
        <v>10</v>
      </c>
      <c r="N6" s="11">
        <v>10</v>
      </c>
      <c r="O6" s="11">
        <f>SUM(Tableau1[[#This Row],[Exercices d''obsevation]:[TIC]])</f>
        <v>107</v>
      </c>
      <c r="P6" s="25">
        <f>AVERAGE(Tableau1[[#This Row],[Exercices d''obsevation]:[TIC]])</f>
        <v>9.7272727272727266</v>
      </c>
      <c r="Q6" s="11">
        <f>RANK(Tableau1[[#This Row],[Moyenne]],Tableau1[Moyenne],0)</f>
        <v>2</v>
      </c>
      <c r="R6" s="3" t="str">
        <f>IF(Tableau1[[#This Row],[Moyenne]]&gt;=5,"Validé","Non validé")</f>
        <v>Validé</v>
      </c>
    </row>
    <row r="7" spans="1:18" ht="24.95" customHeight="1" thickBot="1" x14ac:dyDescent="0.3">
      <c r="A7" s="2">
        <v>12</v>
      </c>
      <c r="B7" s="9" t="s">
        <v>38</v>
      </c>
      <c r="C7" s="12" t="s">
        <v>142</v>
      </c>
      <c r="D7" s="12">
        <v>10</v>
      </c>
      <c r="E7" s="12">
        <v>10</v>
      </c>
      <c r="F7" s="12">
        <v>9</v>
      </c>
      <c r="G7" s="12">
        <v>10</v>
      </c>
      <c r="H7" s="12">
        <v>9</v>
      </c>
      <c r="I7" s="12">
        <v>10</v>
      </c>
      <c r="J7" s="12">
        <v>10</v>
      </c>
      <c r="K7" s="12">
        <v>10</v>
      </c>
      <c r="L7" s="12">
        <v>8</v>
      </c>
      <c r="M7" s="12">
        <v>10</v>
      </c>
      <c r="N7" s="12">
        <v>10</v>
      </c>
      <c r="O7" s="14">
        <f>SUM(Tableau1[[#This Row],[Exercices d''obsevation]:[TIC]])</f>
        <v>106</v>
      </c>
      <c r="P7" s="26">
        <f>AVERAGE(Tableau1[[#This Row],[Exercices d''obsevation]:[TIC]])</f>
        <v>9.6363636363636367</v>
      </c>
      <c r="Q7" s="14">
        <f>RANK(Tableau1[[#This Row],[Moyenne]],Tableau1[Moyenne],0)</f>
        <v>6</v>
      </c>
      <c r="R7" s="10" t="str">
        <f>IF(Tableau1[[#This Row],[Moyenne]]&gt;=5,"Validé","Non validé")</f>
        <v>Validé</v>
      </c>
    </row>
    <row r="8" spans="1:18" ht="24.95" customHeight="1" thickBot="1" x14ac:dyDescent="0.3">
      <c r="A8" s="2">
        <v>39</v>
      </c>
      <c r="B8" s="9" t="s">
        <v>81</v>
      </c>
      <c r="C8" s="12" t="s">
        <v>142</v>
      </c>
      <c r="D8" s="12">
        <v>10</v>
      </c>
      <c r="E8" s="12">
        <v>10</v>
      </c>
      <c r="F8" s="12">
        <v>10</v>
      </c>
      <c r="G8" s="12">
        <v>10</v>
      </c>
      <c r="H8" s="12">
        <v>9</v>
      </c>
      <c r="I8" s="12">
        <v>9</v>
      </c>
      <c r="J8" s="12">
        <v>9</v>
      </c>
      <c r="K8" s="12">
        <v>10</v>
      </c>
      <c r="L8" s="12">
        <v>9</v>
      </c>
      <c r="M8" s="12">
        <v>10</v>
      </c>
      <c r="N8" s="12">
        <v>10</v>
      </c>
      <c r="O8" s="14">
        <f>SUM(Tableau1[[#This Row],[Exercices d''obsevation]:[TIC]])</f>
        <v>106</v>
      </c>
      <c r="P8" s="26">
        <f>AVERAGE(Tableau1[[#This Row],[Exercices d''obsevation]:[TIC]])</f>
        <v>9.6363636363636367</v>
      </c>
      <c r="Q8" s="14">
        <f>RANK(Tableau1[[#This Row],[Moyenne]],Tableau1[Moyenne],0)</f>
        <v>6</v>
      </c>
      <c r="R8" s="10" t="str">
        <f>IF(Tableau1[[#This Row],[Moyenne]]&gt;=5,"Validé","Non validé")</f>
        <v>Validé</v>
      </c>
    </row>
    <row r="9" spans="1:18" ht="24.95" customHeight="1" thickBot="1" x14ac:dyDescent="0.3">
      <c r="A9" s="2">
        <v>63</v>
      </c>
      <c r="B9" s="9" t="s">
        <v>82</v>
      </c>
      <c r="C9" s="12" t="s">
        <v>142</v>
      </c>
      <c r="D9" s="12">
        <v>10</v>
      </c>
      <c r="E9" s="12">
        <v>10</v>
      </c>
      <c r="F9" s="12">
        <v>9</v>
      </c>
      <c r="G9" s="12">
        <v>10</v>
      </c>
      <c r="H9" s="12">
        <v>9</v>
      </c>
      <c r="I9" s="12">
        <v>10</v>
      </c>
      <c r="J9" s="12">
        <v>9</v>
      </c>
      <c r="K9" s="12">
        <v>9</v>
      </c>
      <c r="L9" s="12">
        <v>10</v>
      </c>
      <c r="M9" s="12">
        <v>10</v>
      </c>
      <c r="N9" s="12">
        <v>10</v>
      </c>
      <c r="O9" s="14">
        <f>SUM(Tableau1[[#This Row],[Exercices d''obsevation]:[TIC]])</f>
        <v>106</v>
      </c>
      <c r="P9" s="26">
        <f>AVERAGE(Tableau1[[#This Row],[Exercices d''obsevation]:[TIC]])</f>
        <v>9.6363636363636367</v>
      </c>
      <c r="Q9" s="14">
        <f>RANK(Tableau1[[#This Row],[Moyenne]],Tableau1[Moyenne],0)</f>
        <v>6</v>
      </c>
      <c r="R9" s="10" t="str">
        <f>IF(Tableau1[[#This Row],[Moyenne]]&gt;=5,"Validé","Non validé")</f>
        <v>Validé</v>
      </c>
    </row>
    <row r="10" spans="1:18" ht="24.95" customHeight="1" thickBot="1" x14ac:dyDescent="0.3">
      <c r="A10" s="2">
        <v>1</v>
      </c>
      <c r="B10" s="1" t="s">
        <v>29</v>
      </c>
      <c r="C10" s="44" t="s">
        <v>143</v>
      </c>
      <c r="D10" s="11">
        <v>10</v>
      </c>
      <c r="E10" s="11">
        <v>9</v>
      </c>
      <c r="F10" s="11">
        <v>9</v>
      </c>
      <c r="G10" s="11">
        <v>10</v>
      </c>
      <c r="H10" s="11">
        <v>8</v>
      </c>
      <c r="I10" s="11">
        <v>10</v>
      </c>
      <c r="J10" s="11">
        <v>10</v>
      </c>
      <c r="K10" s="11">
        <v>10</v>
      </c>
      <c r="L10" s="11">
        <v>10</v>
      </c>
      <c r="M10" s="12">
        <v>10</v>
      </c>
      <c r="N10" s="11">
        <v>10</v>
      </c>
      <c r="O10" s="11">
        <f>SUM(Tableau1[[#This Row],[Exercices d''obsevation]:[TIC]])</f>
        <v>106</v>
      </c>
      <c r="P10" s="25">
        <f>AVERAGE(Tableau1[[#This Row],[Exercices d''obsevation]:[TIC]])</f>
        <v>9.6363636363636367</v>
      </c>
      <c r="Q10" s="11">
        <f>RANK(Tableau1[[#This Row],[Moyenne]],Tableau1[Moyenne],0)</f>
        <v>6</v>
      </c>
      <c r="R10" s="3" t="str">
        <f>IF(Tableau1[[#This Row],[Moyenne]]&gt;=5,"Validé","Non validé")</f>
        <v>Validé</v>
      </c>
    </row>
    <row r="11" spans="1:18" ht="24.95" customHeight="1" thickBot="1" x14ac:dyDescent="0.3">
      <c r="A11" s="2">
        <v>93</v>
      </c>
      <c r="B11" s="9" t="s">
        <v>2</v>
      </c>
      <c r="C11" s="12" t="s">
        <v>142</v>
      </c>
      <c r="D11" s="12">
        <v>10</v>
      </c>
      <c r="E11" s="12">
        <v>10</v>
      </c>
      <c r="F11" s="12">
        <v>9</v>
      </c>
      <c r="G11" s="12">
        <v>10</v>
      </c>
      <c r="H11" s="12">
        <v>9</v>
      </c>
      <c r="I11" s="12">
        <v>10</v>
      </c>
      <c r="J11" s="12">
        <v>9</v>
      </c>
      <c r="K11" s="12">
        <v>8</v>
      </c>
      <c r="L11" s="12">
        <v>10</v>
      </c>
      <c r="M11" s="12">
        <v>10</v>
      </c>
      <c r="N11" s="12">
        <v>10</v>
      </c>
      <c r="O11" s="14">
        <f>SUM(Tableau1[[#This Row],[Exercices d''obsevation]:[TIC]])</f>
        <v>105</v>
      </c>
      <c r="P11" s="26">
        <f>AVERAGE(Tableau1[[#This Row],[Exercices d''obsevation]:[TIC]])</f>
        <v>9.545454545454545</v>
      </c>
      <c r="Q11" s="14">
        <f>RANK(Tableau1[[#This Row],[Moyenne]],Tableau1[Moyenne],0)</f>
        <v>10</v>
      </c>
      <c r="R11" s="10" t="str">
        <f>IF(Tableau1[[#This Row],[Moyenne]]&gt;=5,"Validé","Non validé")</f>
        <v>Validé</v>
      </c>
    </row>
    <row r="12" spans="1:18" ht="24.95" customHeight="1" thickBot="1" x14ac:dyDescent="0.3">
      <c r="A12" s="2">
        <v>55</v>
      </c>
      <c r="B12" s="9" t="s">
        <v>24</v>
      </c>
      <c r="C12" s="12" t="s">
        <v>142</v>
      </c>
      <c r="D12" s="12">
        <v>10</v>
      </c>
      <c r="E12" s="12">
        <v>10</v>
      </c>
      <c r="F12" s="12">
        <v>9</v>
      </c>
      <c r="G12" s="12">
        <v>10</v>
      </c>
      <c r="H12" s="12">
        <v>9</v>
      </c>
      <c r="I12" s="12">
        <v>10</v>
      </c>
      <c r="J12" s="12">
        <v>8</v>
      </c>
      <c r="K12" s="12">
        <v>9</v>
      </c>
      <c r="L12" s="12">
        <v>9</v>
      </c>
      <c r="M12" s="12">
        <v>10</v>
      </c>
      <c r="N12" s="12">
        <v>10</v>
      </c>
      <c r="O12" s="14">
        <f>SUM(Tableau1[[#This Row],[Exercices d''obsevation]:[TIC]])</f>
        <v>104</v>
      </c>
      <c r="P12" s="26">
        <f>AVERAGE(Tableau1[[#This Row],[Exercices d''obsevation]:[TIC]])</f>
        <v>9.454545454545455</v>
      </c>
      <c r="Q12" s="14">
        <f>RANK(Tableau1[[#This Row],[Moyenne]],Tableau1[Moyenne],0)</f>
        <v>11</v>
      </c>
      <c r="R12" s="10" t="str">
        <f>IF(Tableau1[[#This Row],[Moyenne]]&gt;=5,"Validé","Non validé")</f>
        <v>Validé</v>
      </c>
    </row>
    <row r="13" spans="1:18" ht="24.95" customHeight="1" thickBot="1" x14ac:dyDescent="0.3">
      <c r="A13" s="2">
        <v>82</v>
      </c>
      <c r="B13" s="9" t="s">
        <v>18</v>
      </c>
      <c r="C13" s="12" t="s">
        <v>142</v>
      </c>
      <c r="D13" s="12">
        <v>10</v>
      </c>
      <c r="E13" s="12">
        <v>10</v>
      </c>
      <c r="F13" s="12">
        <v>9</v>
      </c>
      <c r="G13" s="12">
        <v>10</v>
      </c>
      <c r="H13" s="12">
        <v>6</v>
      </c>
      <c r="I13" s="12">
        <v>10</v>
      </c>
      <c r="J13" s="12">
        <v>10</v>
      </c>
      <c r="K13" s="12">
        <v>9</v>
      </c>
      <c r="L13" s="12">
        <v>10</v>
      </c>
      <c r="M13" s="12">
        <v>10</v>
      </c>
      <c r="N13" s="12">
        <v>10</v>
      </c>
      <c r="O13" s="14">
        <f>SUM(Tableau1[[#This Row],[Exercices d''obsevation]:[TIC]])</f>
        <v>104</v>
      </c>
      <c r="P13" s="26">
        <f>AVERAGE(Tableau1[[#This Row],[Exercices d''obsevation]:[TIC]])</f>
        <v>9.454545454545455</v>
      </c>
      <c r="Q13" s="14">
        <f>RANK(Tableau1[[#This Row],[Moyenne]],Tableau1[Moyenne],0)</f>
        <v>11</v>
      </c>
      <c r="R13" s="10" t="str">
        <f>IF(Tableau1[[#This Row],[Moyenne]]&gt;=5,"Validé","Non validé")</f>
        <v>Validé</v>
      </c>
    </row>
    <row r="14" spans="1:18" ht="24.95" customHeight="1" thickBot="1" x14ac:dyDescent="0.3">
      <c r="A14" s="2">
        <v>35</v>
      </c>
      <c r="B14" s="9" t="s">
        <v>3</v>
      </c>
      <c r="C14" s="12" t="s">
        <v>142</v>
      </c>
      <c r="D14" s="12">
        <v>10</v>
      </c>
      <c r="E14" s="12">
        <v>10</v>
      </c>
      <c r="F14" s="12">
        <v>9</v>
      </c>
      <c r="G14" s="12">
        <v>10</v>
      </c>
      <c r="H14" s="12">
        <v>8</v>
      </c>
      <c r="I14" s="12">
        <v>9</v>
      </c>
      <c r="J14" s="12">
        <v>8</v>
      </c>
      <c r="K14" s="12">
        <v>9</v>
      </c>
      <c r="L14" s="12">
        <v>10</v>
      </c>
      <c r="M14" s="12">
        <v>10</v>
      </c>
      <c r="N14" s="12">
        <v>10</v>
      </c>
      <c r="O14" s="14">
        <f>SUM(Tableau1[[#This Row],[Exercices d''obsevation]:[TIC]])</f>
        <v>103</v>
      </c>
      <c r="P14" s="26">
        <f>AVERAGE(Tableau1[[#This Row],[Exercices d''obsevation]:[TIC]])</f>
        <v>9.3636363636363633</v>
      </c>
      <c r="Q14" s="14">
        <f>RANK(Tableau1[[#This Row],[Moyenne]],Tableau1[Moyenne],0)</f>
        <v>13</v>
      </c>
      <c r="R14" s="10" t="str">
        <f>IF(Tableau1[[#This Row],[Moyenne]]&gt;=5,"Validé","Non validé")</f>
        <v>Validé</v>
      </c>
    </row>
    <row r="15" spans="1:18" ht="24.95" customHeight="1" thickBot="1" x14ac:dyDescent="0.3">
      <c r="A15" s="2">
        <v>49</v>
      </c>
      <c r="B15" s="1" t="s">
        <v>31</v>
      </c>
      <c r="C15" s="44" t="s">
        <v>143</v>
      </c>
      <c r="D15" s="11">
        <v>10</v>
      </c>
      <c r="E15" s="11">
        <v>10</v>
      </c>
      <c r="F15" s="11">
        <v>9</v>
      </c>
      <c r="G15" s="11">
        <v>9</v>
      </c>
      <c r="H15" s="11">
        <v>8</v>
      </c>
      <c r="I15" s="11">
        <v>10</v>
      </c>
      <c r="J15" s="11">
        <v>10</v>
      </c>
      <c r="K15" s="11">
        <v>8</v>
      </c>
      <c r="L15" s="11">
        <v>9</v>
      </c>
      <c r="M15" s="12">
        <v>10</v>
      </c>
      <c r="N15" s="11">
        <v>9</v>
      </c>
      <c r="O15" s="11">
        <f>SUM(Tableau1[[#This Row],[Exercices d''obsevation]:[TIC]])</f>
        <v>102</v>
      </c>
      <c r="P15" s="25">
        <f>AVERAGE(Tableau1[[#This Row],[Exercices d''obsevation]:[TIC]])</f>
        <v>9.2727272727272734</v>
      </c>
      <c r="Q15" s="11">
        <f>RANK(Tableau1[[#This Row],[Moyenne]],Tableau1[Moyenne],0)</f>
        <v>14</v>
      </c>
      <c r="R15" s="3" t="str">
        <f>IF(Tableau1[[#This Row],[Moyenne]]&gt;=5,"Validé","Non validé")</f>
        <v>Validé</v>
      </c>
    </row>
    <row r="16" spans="1:18" ht="24.95" customHeight="1" thickBot="1" x14ac:dyDescent="0.3">
      <c r="A16" s="2">
        <v>85</v>
      </c>
      <c r="B16" s="9" t="s">
        <v>98</v>
      </c>
      <c r="C16" s="12" t="s">
        <v>142</v>
      </c>
      <c r="D16" s="12">
        <v>10</v>
      </c>
      <c r="E16" s="12">
        <v>10</v>
      </c>
      <c r="F16" s="12">
        <v>9</v>
      </c>
      <c r="G16" s="12">
        <v>10</v>
      </c>
      <c r="H16" s="12">
        <v>8</v>
      </c>
      <c r="I16" s="12">
        <v>10</v>
      </c>
      <c r="J16" s="12">
        <v>8</v>
      </c>
      <c r="K16" s="12">
        <v>7</v>
      </c>
      <c r="L16" s="12">
        <v>9</v>
      </c>
      <c r="M16" s="12">
        <v>10</v>
      </c>
      <c r="N16" s="12">
        <v>10</v>
      </c>
      <c r="O16" s="14">
        <f>SUM(Tableau1[[#This Row],[Exercices d''obsevation]:[TIC]])</f>
        <v>101</v>
      </c>
      <c r="P16" s="26">
        <f>AVERAGE(Tableau1[[#This Row],[Exercices d''obsevation]:[TIC]])</f>
        <v>9.1818181818181817</v>
      </c>
      <c r="Q16" s="14">
        <f>RANK(Tableau1[[#This Row],[Moyenne]],Tableau1[Moyenne],0)</f>
        <v>15</v>
      </c>
      <c r="R16" s="10" t="str">
        <f>IF(Tableau1[[#This Row],[Moyenne]]&gt;=5,"Validé","Non validé")</f>
        <v>Validé</v>
      </c>
    </row>
    <row r="17" spans="1:18" ht="24.95" customHeight="1" thickBot="1" x14ac:dyDescent="0.3">
      <c r="A17" s="2">
        <v>6</v>
      </c>
      <c r="B17" s="1" t="s">
        <v>56</v>
      </c>
      <c r="C17" s="44" t="s">
        <v>143</v>
      </c>
      <c r="D17" s="11">
        <v>9</v>
      </c>
      <c r="E17" s="11">
        <v>10</v>
      </c>
      <c r="F17" s="11">
        <v>8</v>
      </c>
      <c r="G17" s="11">
        <v>10</v>
      </c>
      <c r="H17" s="11">
        <v>8</v>
      </c>
      <c r="I17" s="11">
        <v>10</v>
      </c>
      <c r="J17" s="11">
        <v>10</v>
      </c>
      <c r="K17" s="11">
        <v>7</v>
      </c>
      <c r="L17" s="11">
        <v>9</v>
      </c>
      <c r="M17" s="12">
        <v>10</v>
      </c>
      <c r="N17" s="11">
        <v>10</v>
      </c>
      <c r="O17" s="11">
        <f>SUM(Tableau1[[#This Row],[Exercices d''obsevation]:[TIC]])</f>
        <v>101</v>
      </c>
      <c r="P17" s="25">
        <f>AVERAGE(Tableau1[[#This Row],[Exercices d''obsevation]:[TIC]])</f>
        <v>9.1818181818181817</v>
      </c>
      <c r="Q17" s="11">
        <f>RANK(Tableau1[[#This Row],[Moyenne]],Tableau1[Moyenne],0)</f>
        <v>15</v>
      </c>
      <c r="R17" s="3" t="str">
        <f>IF(Tableau1[[#This Row],[Moyenne]]&gt;=5,"Validé","Non validé")</f>
        <v>Validé</v>
      </c>
    </row>
    <row r="18" spans="1:18" ht="24.95" customHeight="1" thickBot="1" x14ac:dyDescent="0.3">
      <c r="A18" s="2">
        <v>68</v>
      </c>
      <c r="B18" s="1" t="s">
        <v>68</v>
      </c>
      <c r="C18" s="44" t="s">
        <v>143</v>
      </c>
      <c r="D18" s="11">
        <v>10</v>
      </c>
      <c r="E18" s="11">
        <v>10</v>
      </c>
      <c r="F18" s="11">
        <v>10</v>
      </c>
      <c r="G18" s="11">
        <v>10</v>
      </c>
      <c r="H18" s="11">
        <v>9</v>
      </c>
      <c r="I18" s="11">
        <v>9</v>
      </c>
      <c r="J18" s="11">
        <v>8</v>
      </c>
      <c r="K18" s="11">
        <v>8</v>
      </c>
      <c r="L18" s="11">
        <v>7</v>
      </c>
      <c r="M18" s="12">
        <v>10</v>
      </c>
      <c r="N18" s="11">
        <v>10</v>
      </c>
      <c r="O18" s="11">
        <f>SUM(Tableau1[[#This Row],[Exercices d''obsevation]:[TIC]])</f>
        <v>101</v>
      </c>
      <c r="P18" s="25">
        <f>AVERAGE(Tableau1[[#This Row],[Exercices d''obsevation]:[TIC]])</f>
        <v>9.1818181818181817</v>
      </c>
      <c r="Q18" s="11">
        <f>RANK(Tableau1[[#This Row],[Moyenne]],Tableau1[Moyenne],0)</f>
        <v>15</v>
      </c>
      <c r="R18" s="3" t="str">
        <f>IF(Tableau1[[#This Row],[Moyenne]]&gt;=5,"Validé","Non validé")</f>
        <v>Validé</v>
      </c>
    </row>
    <row r="19" spans="1:18" ht="24.95" customHeight="1" thickBot="1" x14ac:dyDescent="0.3">
      <c r="A19" s="2">
        <v>40</v>
      </c>
      <c r="B19" s="9" t="s">
        <v>10</v>
      </c>
      <c r="C19" s="12" t="s">
        <v>142</v>
      </c>
      <c r="D19" s="12">
        <v>10</v>
      </c>
      <c r="E19" s="12">
        <v>8</v>
      </c>
      <c r="F19" s="12">
        <v>8</v>
      </c>
      <c r="G19" s="12">
        <v>10</v>
      </c>
      <c r="H19" s="12">
        <v>8</v>
      </c>
      <c r="I19" s="12">
        <v>9</v>
      </c>
      <c r="J19" s="12">
        <v>9</v>
      </c>
      <c r="K19" s="12">
        <v>8</v>
      </c>
      <c r="L19" s="12">
        <v>9</v>
      </c>
      <c r="M19" s="12">
        <v>10</v>
      </c>
      <c r="N19" s="12">
        <v>10</v>
      </c>
      <c r="O19" s="14">
        <f>SUM(Tableau1[[#This Row],[Exercices d''obsevation]:[TIC]])</f>
        <v>99</v>
      </c>
      <c r="P19" s="26">
        <f>AVERAGE(Tableau1[[#This Row],[Exercices d''obsevation]:[TIC]])</f>
        <v>9</v>
      </c>
      <c r="Q19" s="14">
        <f>RANK(Tableau1[[#This Row],[Moyenne]],Tableau1[Moyenne],0)</f>
        <v>18</v>
      </c>
      <c r="R19" s="10" t="str">
        <f>IF(Tableau1[[#This Row],[Moyenne]]&gt;=5,"Validé","Non validé")</f>
        <v>Validé</v>
      </c>
    </row>
    <row r="20" spans="1:18" ht="24.95" customHeight="1" thickBot="1" x14ac:dyDescent="0.3">
      <c r="A20" s="2">
        <v>83</v>
      </c>
      <c r="B20" s="9" t="s">
        <v>53</v>
      </c>
      <c r="C20" s="12" t="s">
        <v>142</v>
      </c>
      <c r="D20" s="12">
        <v>10</v>
      </c>
      <c r="E20" s="12">
        <v>10</v>
      </c>
      <c r="F20" s="12">
        <v>9</v>
      </c>
      <c r="G20" s="12">
        <v>7</v>
      </c>
      <c r="H20" s="12">
        <v>8</v>
      </c>
      <c r="I20" s="12">
        <v>10</v>
      </c>
      <c r="J20" s="12">
        <v>10</v>
      </c>
      <c r="K20" s="12">
        <v>8</v>
      </c>
      <c r="L20" s="12">
        <v>8</v>
      </c>
      <c r="M20" s="12">
        <v>10</v>
      </c>
      <c r="N20" s="12">
        <v>9</v>
      </c>
      <c r="O20" s="14">
        <f>SUM(Tableau1[[#This Row],[Exercices d''obsevation]:[TIC]])</f>
        <v>99</v>
      </c>
      <c r="P20" s="26">
        <f>AVERAGE(Tableau1[[#This Row],[Exercices d''obsevation]:[TIC]])</f>
        <v>9</v>
      </c>
      <c r="Q20" s="14">
        <f>RANK(Tableau1[[#This Row],[Moyenne]],Tableau1[Moyenne],0)</f>
        <v>18</v>
      </c>
      <c r="R20" s="10" t="str">
        <f>IF(Tableau1[[#This Row],[Moyenne]]&gt;=5,"Validé","Non validé")</f>
        <v>Validé</v>
      </c>
    </row>
    <row r="21" spans="1:18" ht="24.95" customHeight="1" thickBot="1" x14ac:dyDescent="0.3">
      <c r="A21" s="2">
        <v>69</v>
      </c>
      <c r="B21" s="1" t="s">
        <v>48</v>
      </c>
      <c r="C21" s="44" t="s">
        <v>143</v>
      </c>
      <c r="D21" s="11">
        <v>10</v>
      </c>
      <c r="E21" s="11">
        <v>10</v>
      </c>
      <c r="F21" s="11">
        <v>8</v>
      </c>
      <c r="G21" s="11">
        <v>10</v>
      </c>
      <c r="H21" s="11">
        <v>7</v>
      </c>
      <c r="I21" s="11">
        <v>9</v>
      </c>
      <c r="J21" s="11">
        <v>10</v>
      </c>
      <c r="K21" s="11">
        <v>6</v>
      </c>
      <c r="L21" s="11">
        <v>9</v>
      </c>
      <c r="M21" s="12">
        <v>10</v>
      </c>
      <c r="N21" s="11">
        <v>10</v>
      </c>
      <c r="O21" s="11">
        <f>SUM(Tableau1[[#This Row],[Exercices d''obsevation]:[TIC]])</f>
        <v>99</v>
      </c>
      <c r="P21" s="25">
        <f>AVERAGE(Tableau1[[#This Row],[Exercices d''obsevation]:[TIC]])</f>
        <v>9</v>
      </c>
      <c r="Q21" s="11">
        <f>RANK(Tableau1[[#This Row],[Moyenne]],Tableau1[Moyenne],0)</f>
        <v>18</v>
      </c>
      <c r="R21" s="3" t="str">
        <f>IF(Tableau1[[#This Row],[Moyenne]]&gt;=5,"Validé","Non validé")</f>
        <v>Validé</v>
      </c>
    </row>
    <row r="22" spans="1:18" ht="24.95" customHeight="1" thickBot="1" x14ac:dyDescent="0.3">
      <c r="A22" s="2">
        <v>2</v>
      </c>
      <c r="B22" s="9" t="s">
        <v>43</v>
      </c>
      <c r="C22" s="12" t="s">
        <v>142</v>
      </c>
      <c r="D22" s="12">
        <v>8</v>
      </c>
      <c r="E22" s="12">
        <v>9</v>
      </c>
      <c r="F22" s="12">
        <v>8</v>
      </c>
      <c r="G22" s="12">
        <v>9</v>
      </c>
      <c r="H22" s="12">
        <v>9</v>
      </c>
      <c r="I22" s="12">
        <v>10</v>
      </c>
      <c r="J22" s="12">
        <v>9</v>
      </c>
      <c r="K22" s="12">
        <v>8</v>
      </c>
      <c r="L22" s="12">
        <v>9</v>
      </c>
      <c r="M22" s="12">
        <v>10</v>
      </c>
      <c r="N22" s="12">
        <v>9</v>
      </c>
      <c r="O22" s="14">
        <f>SUM(Tableau1[[#This Row],[Exercices d''obsevation]:[TIC]])</f>
        <v>98</v>
      </c>
      <c r="P22" s="26">
        <f>AVERAGE(Tableau1[[#This Row],[Exercices d''obsevation]:[TIC]])</f>
        <v>8.9090909090909083</v>
      </c>
      <c r="Q22" s="14">
        <f>RANK(Tableau1[[#This Row],[Moyenne]],Tableau1[Moyenne],0)</f>
        <v>21</v>
      </c>
      <c r="R22" s="10" t="str">
        <f>IF(Tableau1[[#This Row],[Moyenne]]&gt;=5,"Validé","Non validé")</f>
        <v>Validé</v>
      </c>
    </row>
    <row r="23" spans="1:18" ht="24.95" customHeight="1" thickBot="1" x14ac:dyDescent="0.3">
      <c r="A23" s="2">
        <v>41</v>
      </c>
      <c r="B23" s="9" t="s">
        <v>46</v>
      </c>
      <c r="C23" s="12" t="s">
        <v>142</v>
      </c>
      <c r="D23" s="12">
        <v>10</v>
      </c>
      <c r="E23" s="12">
        <v>10</v>
      </c>
      <c r="F23" s="12">
        <v>8</v>
      </c>
      <c r="G23" s="12">
        <v>10</v>
      </c>
      <c r="H23" s="12">
        <v>8</v>
      </c>
      <c r="I23" s="12">
        <v>9</v>
      </c>
      <c r="J23" s="12">
        <v>6</v>
      </c>
      <c r="K23" s="12">
        <v>8</v>
      </c>
      <c r="L23" s="12">
        <v>9</v>
      </c>
      <c r="M23" s="12">
        <v>10</v>
      </c>
      <c r="N23" s="12">
        <v>10</v>
      </c>
      <c r="O23" s="14">
        <f>SUM(Tableau1[[#This Row],[Exercices d''obsevation]:[TIC]])</f>
        <v>98</v>
      </c>
      <c r="P23" s="26">
        <f>AVERAGE(Tableau1[[#This Row],[Exercices d''obsevation]:[TIC]])</f>
        <v>8.9090909090909083</v>
      </c>
      <c r="Q23" s="14">
        <f>RANK(Tableau1[[#This Row],[Moyenne]],Tableau1[Moyenne],0)</f>
        <v>21</v>
      </c>
      <c r="R23" s="10" t="str">
        <f>IF(Tableau1[[#This Row],[Moyenne]]&gt;=5,"Validé","Non validé")</f>
        <v>Validé</v>
      </c>
    </row>
    <row r="24" spans="1:18" ht="24.95" customHeight="1" thickBot="1" x14ac:dyDescent="0.3">
      <c r="A24" s="2">
        <v>87</v>
      </c>
      <c r="B24" s="9" t="s">
        <v>8</v>
      </c>
      <c r="C24" s="12" t="s">
        <v>142</v>
      </c>
      <c r="D24" s="12">
        <v>10</v>
      </c>
      <c r="E24" s="12">
        <v>10</v>
      </c>
      <c r="F24" s="12">
        <v>9</v>
      </c>
      <c r="G24" s="12">
        <v>9</v>
      </c>
      <c r="H24" s="12">
        <v>8</v>
      </c>
      <c r="I24" s="12">
        <v>10</v>
      </c>
      <c r="J24" s="12">
        <v>9</v>
      </c>
      <c r="K24" s="12">
        <v>7</v>
      </c>
      <c r="L24" s="12">
        <v>9</v>
      </c>
      <c r="M24" s="12">
        <v>10</v>
      </c>
      <c r="N24" s="12">
        <v>7</v>
      </c>
      <c r="O24" s="14">
        <f>SUM(Tableau1[[#This Row],[Exercices d''obsevation]:[TIC]])</f>
        <v>98</v>
      </c>
      <c r="P24" s="26">
        <f>AVERAGE(Tableau1[[#This Row],[Exercices d''obsevation]:[TIC]])</f>
        <v>8.9090909090909083</v>
      </c>
      <c r="Q24" s="14">
        <f>RANK(Tableau1[[#This Row],[Moyenne]],Tableau1[Moyenne],0)</f>
        <v>21</v>
      </c>
      <c r="R24" s="10" t="str">
        <f>IF(Tableau1[[#This Row],[Moyenne]]&gt;=5,"Validé","Non validé")</f>
        <v>Validé</v>
      </c>
    </row>
    <row r="25" spans="1:18" ht="24.95" customHeight="1" thickBot="1" x14ac:dyDescent="0.3">
      <c r="A25" s="2">
        <v>61</v>
      </c>
      <c r="B25" s="1" t="s">
        <v>7</v>
      </c>
      <c r="C25" s="44" t="s">
        <v>143</v>
      </c>
      <c r="D25" s="11">
        <v>10</v>
      </c>
      <c r="E25" s="11">
        <v>10</v>
      </c>
      <c r="F25" s="11">
        <v>8</v>
      </c>
      <c r="G25" s="11">
        <v>7</v>
      </c>
      <c r="H25" s="11">
        <v>8</v>
      </c>
      <c r="I25" s="11">
        <v>10</v>
      </c>
      <c r="J25" s="11">
        <v>8</v>
      </c>
      <c r="K25" s="11">
        <v>8</v>
      </c>
      <c r="L25" s="11">
        <v>9</v>
      </c>
      <c r="M25" s="12">
        <v>10</v>
      </c>
      <c r="N25" s="11">
        <v>8</v>
      </c>
      <c r="O25" s="11">
        <f>SUM(Tableau1[[#This Row],[Exercices d''obsevation]:[TIC]])</f>
        <v>96</v>
      </c>
      <c r="P25" s="25">
        <f>AVERAGE(Tableau1[[#This Row],[Exercices d''obsevation]:[TIC]])</f>
        <v>8.7272727272727266</v>
      </c>
      <c r="Q25" s="11">
        <f>RANK(Tableau1[[#This Row],[Moyenne]],Tableau1[Moyenne],0)</f>
        <v>24</v>
      </c>
      <c r="R25" s="3" t="str">
        <f>IF(Tableau1[[#This Row],[Moyenne]]&gt;=5,"Validé","Non validé")</f>
        <v>Validé</v>
      </c>
    </row>
    <row r="26" spans="1:18" ht="24.95" customHeight="1" thickBot="1" x14ac:dyDescent="0.3">
      <c r="A26" s="2">
        <v>3</v>
      </c>
      <c r="B26" s="9" t="s">
        <v>50</v>
      </c>
      <c r="C26" s="12" t="s">
        <v>142</v>
      </c>
      <c r="D26" s="12">
        <v>6</v>
      </c>
      <c r="E26" s="12">
        <v>6</v>
      </c>
      <c r="F26" s="12">
        <v>8</v>
      </c>
      <c r="G26" s="12">
        <v>9</v>
      </c>
      <c r="H26" s="12">
        <v>9</v>
      </c>
      <c r="I26" s="12">
        <v>10</v>
      </c>
      <c r="J26" s="12">
        <v>10</v>
      </c>
      <c r="K26" s="12">
        <v>9</v>
      </c>
      <c r="L26" s="12">
        <v>9</v>
      </c>
      <c r="M26" s="12">
        <v>10</v>
      </c>
      <c r="N26" s="12">
        <v>9</v>
      </c>
      <c r="O26" s="14">
        <f>SUM(Tableau1[[#This Row],[Exercices d''obsevation]:[TIC]])</f>
        <v>95</v>
      </c>
      <c r="P26" s="26">
        <f>AVERAGE(Tableau1[[#This Row],[Exercices d''obsevation]:[TIC]])</f>
        <v>8.6363636363636367</v>
      </c>
      <c r="Q26" s="14">
        <f>RANK(Tableau1[[#This Row],[Moyenne]],Tableau1[Moyenne],0)</f>
        <v>25</v>
      </c>
      <c r="R26" s="10" t="str">
        <f>IF(Tableau1[[#This Row],[Moyenne]]&gt;=5,"Validé","Non validé")</f>
        <v>Validé</v>
      </c>
    </row>
    <row r="27" spans="1:18" ht="24.95" customHeight="1" thickBot="1" x14ac:dyDescent="0.3">
      <c r="A27" s="2">
        <v>11</v>
      </c>
      <c r="B27" s="9" t="s">
        <v>73</v>
      </c>
      <c r="C27" s="12" t="s">
        <v>142</v>
      </c>
      <c r="D27" s="12">
        <v>9</v>
      </c>
      <c r="E27" s="12">
        <v>8</v>
      </c>
      <c r="F27" s="12">
        <v>9</v>
      </c>
      <c r="G27" s="12">
        <v>10</v>
      </c>
      <c r="H27" s="12">
        <v>6</v>
      </c>
      <c r="I27" s="12">
        <v>10</v>
      </c>
      <c r="J27" s="12">
        <v>10</v>
      </c>
      <c r="K27" s="12">
        <v>6</v>
      </c>
      <c r="L27" s="12">
        <v>7</v>
      </c>
      <c r="M27" s="12">
        <v>10</v>
      </c>
      <c r="N27" s="12">
        <v>10</v>
      </c>
      <c r="O27" s="14">
        <f>SUM(Tableau1[[#This Row],[Exercices d''obsevation]:[TIC]])</f>
        <v>95</v>
      </c>
      <c r="P27" s="26">
        <f>AVERAGE(Tableau1[[#This Row],[Exercices d''obsevation]:[TIC]])</f>
        <v>8.6363636363636367</v>
      </c>
      <c r="Q27" s="14">
        <f>RANK(Tableau1[[#This Row],[Moyenne]],Tableau1[Moyenne],0)</f>
        <v>25</v>
      </c>
      <c r="R27" s="10" t="str">
        <f>IF(Tableau1[[#This Row],[Moyenne]]&gt;=5,"Validé","Non validé")</f>
        <v>Validé</v>
      </c>
    </row>
    <row r="28" spans="1:18" ht="24.95" customHeight="1" thickBot="1" x14ac:dyDescent="0.3">
      <c r="A28" s="2">
        <v>14</v>
      </c>
      <c r="B28" s="9" t="s">
        <v>47</v>
      </c>
      <c r="C28" s="12" t="s">
        <v>142</v>
      </c>
      <c r="D28" s="12">
        <v>9</v>
      </c>
      <c r="E28" s="12">
        <v>10</v>
      </c>
      <c r="F28" s="12">
        <v>7</v>
      </c>
      <c r="G28" s="12">
        <v>9</v>
      </c>
      <c r="H28" s="12">
        <v>9</v>
      </c>
      <c r="I28" s="12">
        <v>9</v>
      </c>
      <c r="J28" s="12">
        <v>8</v>
      </c>
      <c r="K28" s="12">
        <v>7</v>
      </c>
      <c r="L28" s="12">
        <v>8</v>
      </c>
      <c r="M28" s="12">
        <v>10</v>
      </c>
      <c r="N28" s="12">
        <v>9</v>
      </c>
      <c r="O28" s="14">
        <f>SUM(Tableau1[[#This Row],[Exercices d''obsevation]:[TIC]])</f>
        <v>95</v>
      </c>
      <c r="P28" s="26">
        <f>AVERAGE(Tableau1[[#This Row],[Exercices d''obsevation]:[TIC]])</f>
        <v>8.6363636363636367</v>
      </c>
      <c r="Q28" s="14">
        <f>RANK(Tableau1[[#This Row],[Moyenne]],Tableau1[Moyenne],0)</f>
        <v>25</v>
      </c>
      <c r="R28" s="10" t="str">
        <f>IF(Tableau1[[#This Row],[Moyenne]]&gt;=5,"Validé","Non validé")</f>
        <v>Validé</v>
      </c>
    </row>
    <row r="29" spans="1:18" ht="24.95" customHeight="1" thickBot="1" x14ac:dyDescent="0.3">
      <c r="A29" s="2">
        <v>4</v>
      </c>
      <c r="B29" s="1" t="s">
        <v>27</v>
      </c>
      <c r="C29" s="44" t="s">
        <v>143</v>
      </c>
      <c r="D29" s="11">
        <v>10</v>
      </c>
      <c r="E29" s="11">
        <v>6</v>
      </c>
      <c r="F29" s="11">
        <v>8</v>
      </c>
      <c r="G29" s="11">
        <v>10</v>
      </c>
      <c r="H29" s="11">
        <v>8</v>
      </c>
      <c r="I29" s="11">
        <v>10</v>
      </c>
      <c r="J29" s="11">
        <v>8</v>
      </c>
      <c r="K29" s="11">
        <v>5</v>
      </c>
      <c r="L29" s="11">
        <v>9</v>
      </c>
      <c r="M29" s="12">
        <v>10</v>
      </c>
      <c r="N29" s="11">
        <v>10</v>
      </c>
      <c r="O29" s="11">
        <f>SUM(Tableau1[[#This Row],[Exercices d''obsevation]:[TIC]])</f>
        <v>94</v>
      </c>
      <c r="P29" s="25">
        <f>AVERAGE(Tableau1[[#This Row],[Exercices d''obsevation]:[TIC]])</f>
        <v>8.545454545454545</v>
      </c>
      <c r="Q29" s="11">
        <f>RANK(Tableau1[[#This Row],[Moyenne]],Tableau1[Moyenne],0)</f>
        <v>28</v>
      </c>
      <c r="R29" s="3" t="str">
        <f>IF(Tableau1[[#This Row],[Moyenne]]&gt;=5,"Validé","Non validé")</f>
        <v>Validé</v>
      </c>
    </row>
    <row r="30" spans="1:18" ht="24.95" customHeight="1" thickBot="1" x14ac:dyDescent="0.3">
      <c r="A30" s="2">
        <v>76</v>
      </c>
      <c r="B30" s="1" t="s">
        <v>6</v>
      </c>
      <c r="C30" s="44" t="s">
        <v>143</v>
      </c>
      <c r="D30" s="11">
        <v>10</v>
      </c>
      <c r="E30" s="11">
        <v>8</v>
      </c>
      <c r="F30" s="11">
        <v>8</v>
      </c>
      <c r="G30" s="11">
        <v>9</v>
      </c>
      <c r="H30" s="11">
        <v>6</v>
      </c>
      <c r="I30" s="11">
        <v>10</v>
      </c>
      <c r="J30" s="11">
        <v>9</v>
      </c>
      <c r="K30" s="11">
        <v>8</v>
      </c>
      <c r="L30" s="11">
        <v>7</v>
      </c>
      <c r="M30" s="12">
        <v>10</v>
      </c>
      <c r="N30" s="11">
        <v>9</v>
      </c>
      <c r="O30" s="11">
        <f>SUM(Tableau1[[#This Row],[Exercices d''obsevation]:[TIC]])</f>
        <v>94</v>
      </c>
      <c r="P30" s="25">
        <f>AVERAGE(Tableau1[[#This Row],[Exercices d''obsevation]:[TIC]])</f>
        <v>8.545454545454545</v>
      </c>
      <c r="Q30" s="11">
        <f>RANK(Tableau1[[#This Row],[Moyenne]],Tableau1[Moyenne],0)</f>
        <v>28</v>
      </c>
      <c r="R30" s="3" t="str">
        <f>IF(Tableau1[[#This Row],[Moyenne]]&gt;=5,"Validé","Non validé")</f>
        <v>Validé</v>
      </c>
    </row>
    <row r="31" spans="1:18" ht="24.95" customHeight="1" thickBot="1" x14ac:dyDescent="0.3">
      <c r="A31" s="2">
        <v>88</v>
      </c>
      <c r="B31" s="1" t="s">
        <v>33</v>
      </c>
      <c r="C31" s="44" t="s">
        <v>143</v>
      </c>
      <c r="D31" s="11">
        <v>9</v>
      </c>
      <c r="E31" s="11">
        <v>6</v>
      </c>
      <c r="F31" s="11">
        <v>8</v>
      </c>
      <c r="G31" s="11">
        <v>10</v>
      </c>
      <c r="H31" s="11">
        <v>7</v>
      </c>
      <c r="I31" s="11">
        <v>10</v>
      </c>
      <c r="J31" s="11">
        <v>8</v>
      </c>
      <c r="K31" s="11">
        <v>9</v>
      </c>
      <c r="L31" s="11">
        <v>8</v>
      </c>
      <c r="M31" s="12">
        <v>10</v>
      </c>
      <c r="N31" s="11">
        <v>9</v>
      </c>
      <c r="O31" s="11">
        <f>SUM(Tableau1[[#This Row],[Exercices d''obsevation]:[TIC]])</f>
        <v>94</v>
      </c>
      <c r="P31" s="25">
        <f>AVERAGE(Tableau1[[#This Row],[Exercices d''obsevation]:[TIC]])</f>
        <v>8.545454545454545</v>
      </c>
      <c r="Q31" s="11">
        <f>RANK(Tableau1[[#This Row],[Moyenne]],Tableau1[Moyenne],0)</f>
        <v>28</v>
      </c>
      <c r="R31" s="3" t="str">
        <f>IF(Tableau1[[#This Row],[Moyenne]]&gt;=5,"Validé","Non validé")</f>
        <v>Validé</v>
      </c>
    </row>
    <row r="32" spans="1:18" ht="24.95" customHeight="1" thickBot="1" x14ac:dyDescent="0.3">
      <c r="A32" s="2">
        <v>66</v>
      </c>
      <c r="B32" s="9" t="s">
        <v>25</v>
      </c>
      <c r="C32" s="12" t="s">
        <v>142</v>
      </c>
      <c r="D32" s="12">
        <v>10</v>
      </c>
      <c r="E32" s="12">
        <v>10</v>
      </c>
      <c r="F32" s="12">
        <v>9</v>
      </c>
      <c r="G32" s="12">
        <v>5</v>
      </c>
      <c r="H32" s="12">
        <v>9</v>
      </c>
      <c r="I32" s="12">
        <v>9</v>
      </c>
      <c r="J32" s="12">
        <v>4</v>
      </c>
      <c r="K32" s="12">
        <v>9</v>
      </c>
      <c r="L32" s="12">
        <v>9</v>
      </c>
      <c r="M32" s="12">
        <v>10</v>
      </c>
      <c r="N32" s="12">
        <v>9</v>
      </c>
      <c r="O32" s="14">
        <f>SUM(Tableau1[[#This Row],[Exercices d''obsevation]:[TIC]])</f>
        <v>93</v>
      </c>
      <c r="P32" s="26">
        <f>AVERAGE(Tableau1[[#This Row],[Exercices d''obsevation]:[TIC]])</f>
        <v>8.454545454545455</v>
      </c>
      <c r="Q32" s="14">
        <f>RANK(Tableau1[[#This Row],[Moyenne]],Tableau1[Moyenne],0)</f>
        <v>31</v>
      </c>
      <c r="R32" s="10" t="str">
        <f>IF(Tableau1[[#This Row],[Moyenne]]&gt;=5,"Validé","Non validé")</f>
        <v>Validé</v>
      </c>
    </row>
    <row r="33" spans="1:18" ht="24.95" customHeight="1" thickBot="1" x14ac:dyDescent="0.3">
      <c r="A33" s="2">
        <v>10</v>
      </c>
      <c r="B33" s="1" t="s">
        <v>13</v>
      </c>
      <c r="C33" s="44" t="s">
        <v>143</v>
      </c>
      <c r="D33" s="11">
        <v>9</v>
      </c>
      <c r="E33" s="11">
        <v>8</v>
      </c>
      <c r="F33" s="11">
        <v>9</v>
      </c>
      <c r="G33" s="11">
        <v>8</v>
      </c>
      <c r="H33" s="11">
        <v>9</v>
      </c>
      <c r="I33" s="11">
        <v>9</v>
      </c>
      <c r="J33" s="11">
        <v>9</v>
      </c>
      <c r="K33" s="11">
        <v>9</v>
      </c>
      <c r="L33" s="11">
        <v>5</v>
      </c>
      <c r="M33" s="12">
        <v>10</v>
      </c>
      <c r="N33" s="11">
        <v>8</v>
      </c>
      <c r="O33" s="11">
        <f>SUM(Tableau1[[#This Row],[Exercices d''obsevation]:[TIC]])</f>
        <v>93</v>
      </c>
      <c r="P33" s="25">
        <f>AVERAGE(Tableau1[[#This Row],[Exercices d''obsevation]:[TIC]])</f>
        <v>8.454545454545455</v>
      </c>
      <c r="Q33" s="11">
        <f>RANK(Tableau1[[#This Row],[Moyenne]],Tableau1[Moyenne],0)</f>
        <v>31</v>
      </c>
      <c r="R33" s="3" t="str">
        <f>IF(Tableau1[[#This Row],[Moyenne]]&gt;=5,"Validé","Non validé")</f>
        <v>Validé</v>
      </c>
    </row>
    <row r="34" spans="1:18" ht="24.95" customHeight="1" thickBot="1" x14ac:dyDescent="0.3">
      <c r="A34" s="2">
        <v>90</v>
      </c>
      <c r="B34" s="1" t="s">
        <v>5</v>
      </c>
      <c r="C34" s="44" t="s">
        <v>143</v>
      </c>
      <c r="D34" s="11">
        <v>8</v>
      </c>
      <c r="E34" s="11">
        <v>6</v>
      </c>
      <c r="F34" s="11">
        <v>9</v>
      </c>
      <c r="G34" s="11">
        <v>10</v>
      </c>
      <c r="H34" s="11">
        <v>9</v>
      </c>
      <c r="I34" s="11">
        <v>9</v>
      </c>
      <c r="J34" s="11">
        <v>9</v>
      </c>
      <c r="K34" s="11">
        <v>8</v>
      </c>
      <c r="L34" s="11">
        <v>7</v>
      </c>
      <c r="M34" s="12">
        <v>10</v>
      </c>
      <c r="N34" s="11">
        <v>8</v>
      </c>
      <c r="O34" s="11">
        <f>SUM(Tableau1[[#This Row],[Exercices d''obsevation]:[TIC]])</f>
        <v>93</v>
      </c>
      <c r="P34" s="25">
        <f>AVERAGE(Tableau1[[#This Row],[Exercices d''obsevation]:[TIC]])</f>
        <v>8.454545454545455</v>
      </c>
      <c r="Q34" s="11">
        <f>RANK(Tableau1[[#This Row],[Moyenne]],Tableau1[Moyenne],0)</f>
        <v>31</v>
      </c>
      <c r="R34" s="3" t="str">
        <f>IF(Tableau1[[#This Row],[Moyenne]]&gt;=5,"Validé","Non validé")</f>
        <v>Validé</v>
      </c>
    </row>
    <row r="35" spans="1:18" ht="24.95" customHeight="1" thickBot="1" x14ac:dyDescent="0.3">
      <c r="A35" s="2">
        <v>78</v>
      </c>
      <c r="B35" s="9" t="s">
        <v>54</v>
      </c>
      <c r="C35" s="12" t="s">
        <v>142</v>
      </c>
      <c r="D35" s="12">
        <v>9</v>
      </c>
      <c r="E35" s="12">
        <v>8</v>
      </c>
      <c r="F35" s="12">
        <v>8</v>
      </c>
      <c r="G35" s="12">
        <v>10</v>
      </c>
      <c r="H35" s="12">
        <v>9</v>
      </c>
      <c r="I35" s="12">
        <v>10</v>
      </c>
      <c r="J35" s="12">
        <v>6</v>
      </c>
      <c r="K35" s="12">
        <v>7</v>
      </c>
      <c r="L35" s="12">
        <v>5</v>
      </c>
      <c r="M35" s="12">
        <v>10</v>
      </c>
      <c r="N35" s="12">
        <v>10</v>
      </c>
      <c r="O35" s="14">
        <f>SUM(Tableau1[[#This Row],[Exercices d''obsevation]:[TIC]])</f>
        <v>92</v>
      </c>
      <c r="P35" s="26">
        <f>AVERAGE(Tableau1[[#This Row],[Exercices d''obsevation]:[TIC]])</f>
        <v>8.3636363636363633</v>
      </c>
      <c r="Q35" s="14">
        <f>RANK(Tableau1[[#This Row],[Moyenne]],Tableau1[Moyenne],0)</f>
        <v>34</v>
      </c>
      <c r="R35" s="10" t="str">
        <f>IF(Tableau1[[#This Row],[Moyenne]]&gt;=5,"Validé","Non validé")</f>
        <v>Validé</v>
      </c>
    </row>
    <row r="36" spans="1:18" ht="24.95" customHeight="1" thickBot="1" x14ac:dyDescent="0.3">
      <c r="A36" s="2">
        <v>72</v>
      </c>
      <c r="B36" s="1" t="s">
        <v>30</v>
      </c>
      <c r="C36" s="44" t="s">
        <v>143</v>
      </c>
      <c r="D36" s="11">
        <v>10</v>
      </c>
      <c r="E36" s="11">
        <v>10</v>
      </c>
      <c r="F36" s="11">
        <v>8</v>
      </c>
      <c r="G36" s="11">
        <v>9</v>
      </c>
      <c r="H36" s="11">
        <v>8</v>
      </c>
      <c r="I36" s="11">
        <v>10</v>
      </c>
      <c r="J36" s="11">
        <v>0</v>
      </c>
      <c r="K36" s="11">
        <v>9</v>
      </c>
      <c r="L36" s="11">
        <v>9</v>
      </c>
      <c r="M36" s="12">
        <v>10</v>
      </c>
      <c r="N36" s="11">
        <v>9</v>
      </c>
      <c r="O36" s="11">
        <f>SUM(Tableau1[[#This Row],[Exercices d''obsevation]:[TIC]])</f>
        <v>92</v>
      </c>
      <c r="P36" s="25">
        <f>AVERAGE(Tableau1[[#This Row],[Exercices d''obsevation]:[TIC]])</f>
        <v>8.3636363636363633</v>
      </c>
      <c r="Q36" s="11">
        <f>RANK(Tableau1[[#This Row],[Moyenne]],Tableau1[Moyenne],0)</f>
        <v>34</v>
      </c>
      <c r="R36" s="3" t="str">
        <f>IF(Tableau1[[#This Row],[Moyenne]]&gt;=5,"Validé","Non validé")</f>
        <v>Validé</v>
      </c>
    </row>
    <row r="37" spans="1:18" ht="24.95" customHeight="1" thickBot="1" x14ac:dyDescent="0.3">
      <c r="A37" s="2">
        <v>77</v>
      </c>
      <c r="B37" s="1" t="s">
        <v>78</v>
      </c>
      <c r="C37" s="44" t="s">
        <v>143</v>
      </c>
      <c r="D37" s="11">
        <v>10</v>
      </c>
      <c r="E37" s="11">
        <v>10</v>
      </c>
      <c r="F37" s="11">
        <v>8</v>
      </c>
      <c r="G37" s="11">
        <v>9</v>
      </c>
      <c r="H37" s="11">
        <v>9</v>
      </c>
      <c r="I37" s="11">
        <v>10</v>
      </c>
      <c r="J37" s="11">
        <v>2</v>
      </c>
      <c r="K37" s="11">
        <v>9</v>
      </c>
      <c r="L37" s="11">
        <v>6</v>
      </c>
      <c r="M37" s="12">
        <v>10</v>
      </c>
      <c r="N37" s="11">
        <v>9</v>
      </c>
      <c r="O37" s="11">
        <f>SUM(Tableau1[[#This Row],[Exercices d''obsevation]:[TIC]])</f>
        <v>92</v>
      </c>
      <c r="P37" s="25">
        <f>AVERAGE(Tableau1[[#This Row],[Exercices d''obsevation]:[TIC]])</f>
        <v>8.3636363636363633</v>
      </c>
      <c r="Q37" s="11">
        <f>RANK(Tableau1[[#This Row],[Moyenne]],Tableau1[Moyenne],0)</f>
        <v>34</v>
      </c>
      <c r="R37" s="3" t="str">
        <f>IF(Tableau1[[#This Row],[Moyenne]]&gt;=5,"Validé","Non validé")</f>
        <v>Validé</v>
      </c>
    </row>
    <row r="38" spans="1:18" ht="24.95" customHeight="1" thickBot="1" x14ac:dyDescent="0.3">
      <c r="A38" s="2">
        <v>32</v>
      </c>
      <c r="B38" s="9" t="s">
        <v>39</v>
      </c>
      <c r="C38" s="12" t="s">
        <v>142</v>
      </c>
      <c r="D38" s="12">
        <v>9</v>
      </c>
      <c r="E38" s="12">
        <v>10</v>
      </c>
      <c r="F38" s="12">
        <v>9</v>
      </c>
      <c r="G38" s="12">
        <v>10</v>
      </c>
      <c r="H38" s="12">
        <v>9</v>
      </c>
      <c r="I38" s="12">
        <v>9</v>
      </c>
      <c r="J38" s="12">
        <v>0</v>
      </c>
      <c r="K38" s="12">
        <v>6</v>
      </c>
      <c r="L38" s="12">
        <v>9</v>
      </c>
      <c r="M38" s="12">
        <v>10</v>
      </c>
      <c r="N38" s="12">
        <v>10</v>
      </c>
      <c r="O38" s="14">
        <f>SUM(Tableau1[[#This Row],[Exercices d''obsevation]:[TIC]])</f>
        <v>91</v>
      </c>
      <c r="P38" s="26">
        <f>AVERAGE(Tableau1[[#This Row],[Exercices d''obsevation]:[TIC]])</f>
        <v>8.2727272727272734</v>
      </c>
      <c r="Q38" s="14">
        <f>RANK(Tableau1[[#This Row],[Moyenne]],Tableau1[Moyenne],0)</f>
        <v>37</v>
      </c>
      <c r="R38" s="10" t="str">
        <f>IF(Tableau1[[#This Row],[Moyenne]]&gt;=5,"Validé","Non validé")</f>
        <v>Validé</v>
      </c>
    </row>
    <row r="39" spans="1:18" ht="24.95" customHeight="1" thickBot="1" x14ac:dyDescent="0.3">
      <c r="A39" s="2">
        <v>38</v>
      </c>
      <c r="B39" s="9" t="s">
        <v>9</v>
      </c>
      <c r="C39" s="12" t="s">
        <v>142</v>
      </c>
      <c r="D39" s="12">
        <v>8</v>
      </c>
      <c r="E39" s="12">
        <v>10</v>
      </c>
      <c r="F39" s="12">
        <v>8</v>
      </c>
      <c r="G39" s="12">
        <v>9</v>
      </c>
      <c r="H39" s="12">
        <v>6</v>
      </c>
      <c r="I39" s="12">
        <v>8</v>
      </c>
      <c r="J39" s="12">
        <v>6</v>
      </c>
      <c r="K39" s="12">
        <v>9</v>
      </c>
      <c r="L39" s="12">
        <v>8</v>
      </c>
      <c r="M39" s="12">
        <v>10</v>
      </c>
      <c r="N39" s="12">
        <v>9</v>
      </c>
      <c r="O39" s="14">
        <f>SUM(Tableau1[[#This Row],[Exercices d''obsevation]:[TIC]])</f>
        <v>91</v>
      </c>
      <c r="P39" s="26">
        <f>AVERAGE(Tableau1[[#This Row],[Exercices d''obsevation]:[TIC]])</f>
        <v>8.2727272727272734</v>
      </c>
      <c r="Q39" s="14">
        <f>RANK(Tableau1[[#This Row],[Moyenne]],Tableau1[Moyenne],0)</f>
        <v>37</v>
      </c>
      <c r="R39" s="10" t="str">
        <f>IF(Tableau1[[#This Row],[Moyenne]]&gt;=5,"Validé","Non validé")</f>
        <v>Validé</v>
      </c>
    </row>
    <row r="40" spans="1:18" ht="24.95" customHeight="1" thickBot="1" x14ac:dyDescent="0.3">
      <c r="A40" s="2">
        <v>37</v>
      </c>
      <c r="B40" s="9" t="s">
        <v>23</v>
      </c>
      <c r="C40" s="12" t="s">
        <v>142</v>
      </c>
      <c r="D40" s="12">
        <v>8</v>
      </c>
      <c r="E40" s="12">
        <v>10</v>
      </c>
      <c r="F40" s="12">
        <v>10</v>
      </c>
      <c r="G40" s="12">
        <v>10</v>
      </c>
      <c r="H40" s="12">
        <v>8</v>
      </c>
      <c r="I40" s="12">
        <v>9</v>
      </c>
      <c r="J40" s="12">
        <v>4</v>
      </c>
      <c r="K40" s="12">
        <v>8</v>
      </c>
      <c r="L40" s="12">
        <v>7</v>
      </c>
      <c r="M40" s="12">
        <v>10</v>
      </c>
      <c r="N40" s="12">
        <v>6</v>
      </c>
      <c r="O40" s="14">
        <f>SUM(Tableau1[[#This Row],[Exercices d''obsevation]:[TIC]])</f>
        <v>90</v>
      </c>
      <c r="P40" s="26">
        <f>AVERAGE(Tableau1[[#This Row],[Exercices d''obsevation]:[TIC]])</f>
        <v>8.1818181818181817</v>
      </c>
      <c r="Q40" s="14">
        <f>RANK(Tableau1[[#This Row],[Moyenne]],Tableau1[Moyenne],0)</f>
        <v>39</v>
      </c>
      <c r="R40" s="10" t="str">
        <f>IF(Tableau1[[#This Row],[Moyenne]]&gt;=5,"Validé","Non validé")</f>
        <v>Validé</v>
      </c>
    </row>
    <row r="41" spans="1:18" ht="24.95" customHeight="1" thickBot="1" x14ac:dyDescent="0.3">
      <c r="A41" s="2">
        <v>59</v>
      </c>
      <c r="B41" s="9" t="s">
        <v>77</v>
      </c>
      <c r="C41" s="12" t="s">
        <v>142</v>
      </c>
      <c r="D41" s="12">
        <v>10</v>
      </c>
      <c r="E41" s="12">
        <v>10</v>
      </c>
      <c r="F41" s="12">
        <v>9</v>
      </c>
      <c r="G41" s="12">
        <v>8</v>
      </c>
      <c r="H41" s="12">
        <v>8</v>
      </c>
      <c r="I41" s="12">
        <v>9</v>
      </c>
      <c r="J41" s="12">
        <v>2</v>
      </c>
      <c r="K41" s="12">
        <v>8</v>
      </c>
      <c r="L41" s="12">
        <v>8</v>
      </c>
      <c r="M41" s="12">
        <v>10</v>
      </c>
      <c r="N41" s="12">
        <v>8</v>
      </c>
      <c r="O41" s="14">
        <f>SUM(Tableau1[[#This Row],[Exercices d''obsevation]:[TIC]])</f>
        <v>90</v>
      </c>
      <c r="P41" s="26">
        <f>AVERAGE(Tableau1[[#This Row],[Exercices d''obsevation]:[TIC]])</f>
        <v>8.1818181818181817</v>
      </c>
      <c r="Q41" s="14">
        <f>RANK(Tableau1[[#This Row],[Moyenne]],Tableau1[Moyenne],0)</f>
        <v>39</v>
      </c>
      <c r="R41" s="10" t="str">
        <f>IF(Tableau1[[#This Row],[Moyenne]]&gt;=5,"Validé","Non validé")</f>
        <v>Validé</v>
      </c>
    </row>
    <row r="42" spans="1:18" ht="24.95" customHeight="1" thickBot="1" x14ac:dyDescent="0.3">
      <c r="A42" s="2">
        <v>92</v>
      </c>
      <c r="B42" s="1" t="s">
        <v>4</v>
      </c>
      <c r="C42" s="44" t="s">
        <v>143</v>
      </c>
      <c r="D42" s="11">
        <v>10</v>
      </c>
      <c r="E42" s="11">
        <v>8</v>
      </c>
      <c r="F42" s="11">
        <v>8</v>
      </c>
      <c r="G42" s="11">
        <v>10</v>
      </c>
      <c r="H42" s="11">
        <v>6</v>
      </c>
      <c r="I42" s="11">
        <v>9</v>
      </c>
      <c r="J42" s="11">
        <v>6</v>
      </c>
      <c r="K42" s="11">
        <v>8</v>
      </c>
      <c r="L42" s="11">
        <v>7</v>
      </c>
      <c r="M42" s="12">
        <v>10</v>
      </c>
      <c r="N42" s="11">
        <v>8</v>
      </c>
      <c r="O42" s="11">
        <f>SUM(Tableau1[[#This Row],[Exercices d''obsevation]:[TIC]])</f>
        <v>90</v>
      </c>
      <c r="P42" s="25">
        <f>AVERAGE(Tableau1[[#This Row],[Exercices d''obsevation]:[TIC]])</f>
        <v>8.1818181818181817</v>
      </c>
      <c r="Q42" s="11">
        <f>RANK(Tableau1[[#This Row],[Moyenne]],Tableau1[Moyenne],0)</f>
        <v>39</v>
      </c>
      <c r="R42" s="3" t="str">
        <f>IF(Tableau1[[#This Row],[Moyenne]]&gt;=5,"Validé","Non validé")</f>
        <v>Validé</v>
      </c>
    </row>
    <row r="43" spans="1:18" ht="24.95" customHeight="1" thickBot="1" x14ac:dyDescent="0.3">
      <c r="A43" s="2">
        <v>86</v>
      </c>
      <c r="B43" s="9" t="s">
        <v>28</v>
      </c>
      <c r="C43" s="12" t="s">
        <v>142</v>
      </c>
      <c r="D43" s="12">
        <v>9</v>
      </c>
      <c r="E43" s="12">
        <v>10</v>
      </c>
      <c r="F43" s="12">
        <v>8</v>
      </c>
      <c r="G43" s="12">
        <v>10</v>
      </c>
      <c r="H43" s="12">
        <v>6</v>
      </c>
      <c r="I43" s="12">
        <v>9</v>
      </c>
      <c r="J43" s="12">
        <v>3</v>
      </c>
      <c r="K43" s="12">
        <v>8</v>
      </c>
      <c r="L43" s="12">
        <v>8</v>
      </c>
      <c r="M43" s="12">
        <v>10</v>
      </c>
      <c r="N43" s="12">
        <v>8</v>
      </c>
      <c r="O43" s="14">
        <f>SUM(Tableau1[[#This Row],[Exercices d''obsevation]:[TIC]])</f>
        <v>89</v>
      </c>
      <c r="P43" s="26">
        <f>AVERAGE(Tableau1[[#This Row],[Exercices d''obsevation]:[TIC]])</f>
        <v>8.0909090909090917</v>
      </c>
      <c r="Q43" s="14">
        <f>RANK(Tableau1[[#This Row],[Moyenne]],Tableau1[Moyenne],0)</f>
        <v>42</v>
      </c>
      <c r="R43" s="10" t="str">
        <f>IF(Tableau1[[#This Row],[Moyenne]]&gt;=5,"Validé","Non validé")</f>
        <v>Validé</v>
      </c>
    </row>
    <row r="44" spans="1:18" ht="24.95" customHeight="1" thickBot="1" x14ac:dyDescent="0.3">
      <c r="A44" s="2">
        <v>94</v>
      </c>
      <c r="B44" s="1" t="s">
        <v>34</v>
      </c>
      <c r="C44" s="44" t="s">
        <v>143</v>
      </c>
      <c r="D44" s="11">
        <v>8</v>
      </c>
      <c r="E44" s="11">
        <v>8</v>
      </c>
      <c r="F44" s="11">
        <v>8</v>
      </c>
      <c r="G44" s="11">
        <v>7</v>
      </c>
      <c r="H44" s="11">
        <v>6</v>
      </c>
      <c r="I44" s="11">
        <v>10</v>
      </c>
      <c r="J44" s="11">
        <v>4</v>
      </c>
      <c r="K44" s="11">
        <v>8</v>
      </c>
      <c r="L44" s="11">
        <v>9</v>
      </c>
      <c r="M44" s="12">
        <v>10</v>
      </c>
      <c r="N44" s="11">
        <v>10</v>
      </c>
      <c r="O44" s="11">
        <f>SUM(Tableau1[[#This Row],[Exercices d''obsevation]:[TIC]])</f>
        <v>88</v>
      </c>
      <c r="P44" s="25">
        <f>AVERAGE(Tableau1[[#This Row],[Exercices d''obsevation]:[TIC]])</f>
        <v>8</v>
      </c>
      <c r="Q44" s="11">
        <f>RANK(Tableau1[[#This Row],[Moyenne]],Tableau1[Moyenne],0)</f>
        <v>43</v>
      </c>
      <c r="R44" s="3" t="str">
        <f>IF(Tableau1[[#This Row],[Moyenne]]&gt;=5,"Validé","Non validé")</f>
        <v>Validé</v>
      </c>
    </row>
    <row r="45" spans="1:18" s="15" customFormat="1" ht="24.95" hidden="1" customHeight="1" thickBot="1" x14ac:dyDescent="0.3">
      <c r="A45" s="2">
        <v>44</v>
      </c>
      <c r="B45" s="9" t="s">
        <v>20</v>
      </c>
      <c r="C45" s="12" t="s">
        <v>142</v>
      </c>
      <c r="D45" s="12">
        <v>8</v>
      </c>
      <c r="E45" s="12">
        <v>10</v>
      </c>
      <c r="F45" s="12">
        <v>8</v>
      </c>
      <c r="G45" s="12">
        <v>8</v>
      </c>
      <c r="H45" s="12">
        <v>6</v>
      </c>
      <c r="I45" s="12">
        <v>10</v>
      </c>
      <c r="J45" s="12">
        <v>9</v>
      </c>
      <c r="K45" s="12">
        <v>6</v>
      </c>
      <c r="L45" s="12">
        <v>6</v>
      </c>
      <c r="M45" s="12">
        <v>10</v>
      </c>
      <c r="N45" s="12">
        <v>6</v>
      </c>
      <c r="O45" s="14">
        <f>SUM(Tableau1[[#This Row],[Exercices d''obsevation]:[TIC]])</f>
        <v>87</v>
      </c>
      <c r="P45" s="26">
        <f>AVERAGE(Tableau1[[#This Row],[Exercices d''obsevation]:[TIC]])</f>
        <v>7.9090909090909092</v>
      </c>
      <c r="Q45" s="14">
        <f>RANK(Tableau1[[#This Row],[Moyenne]],Tableau1[Moyenne],0)</f>
        <v>44</v>
      </c>
      <c r="R45" s="10" t="str">
        <f>IF(Tableau1[[#This Row],[Moyenne]]&gt;=5,"Validé","Non validé")</f>
        <v>Validé</v>
      </c>
    </row>
    <row r="46" spans="1:18" s="15" customFormat="1" ht="24.95" customHeight="1" thickBot="1" x14ac:dyDescent="0.3">
      <c r="A46" s="2">
        <v>53</v>
      </c>
      <c r="B46" s="1" t="s">
        <v>80</v>
      </c>
      <c r="C46" s="44" t="s">
        <v>143</v>
      </c>
      <c r="D46" s="11">
        <v>10</v>
      </c>
      <c r="E46" s="11">
        <v>10</v>
      </c>
      <c r="F46" s="11">
        <v>9</v>
      </c>
      <c r="G46" s="11">
        <v>8</v>
      </c>
      <c r="H46" s="11">
        <v>9</v>
      </c>
      <c r="I46" s="11">
        <v>10</v>
      </c>
      <c r="J46" s="11">
        <v>0</v>
      </c>
      <c r="K46" s="11">
        <v>8</v>
      </c>
      <c r="L46" s="11">
        <v>6</v>
      </c>
      <c r="M46" s="12">
        <v>10</v>
      </c>
      <c r="N46" s="11">
        <v>6</v>
      </c>
      <c r="O46" s="11">
        <f>SUM(Tableau1[[#This Row],[Exercices d''obsevation]:[TIC]])</f>
        <v>86</v>
      </c>
      <c r="P46" s="25">
        <f>AVERAGE(Tableau1[[#This Row],[Exercices d''obsevation]:[TIC]])</f>
        <v>7.8181818181818183</v>
      </c>
      <c r="Q46" s="11">
        <f>RANK(Tableau1[[#This Row],[Moyenne]],Tableau1[Moyenne],0)</f>
        <v>45</v>
      </c>
      <c r="R46" s="3" t="str">
        <f>IF(Tableau1[[#This Row],[Moyenne]]&gt;=5,"Validé","Non validé")</f>
        <v>Validé</v>
      </c>
    </row>
    <row r="47" spans="1:18" ht="24.95" customHeight="1" thickBot="1" x14ac:dyDescent="0.3">
      <c r="A47" s="2">
        <v>8</v>
      </c>
      <c r="B47" s="9" t="s">
        <v>12</v>
      </c>
      <c r="C47" s="12" t="s">
        <v>142</v>
      </c>
      <c r="D47" s="12">
        <v>8</v>
      </c>
      <c r="E47" s="12">
        <v>6</v>
      </c>
      <c r="F47" s="12">
        <v>8</v>
      </c>
      <c r="G47" s="12">
        <v>9</v>
      </c>
      <c r="H47" s="12">
        <v>10</v>
      </c>
      <c r="I47" s="12">
        <v>10</v>
      </c>
      <c r="J47" s="12">
        <v>0</v>
      </c>
      <c r="K47" s="12">
        <v>7</v>
      </c>
      <c r="L47" s="12">
        <v>8</v>
      </c>
      <c r="M47" s="12">
        <v>10</v>
      </c>
      <c r="N47" s="12">
        <v>9</v>
      </c>
      <c r="O47" s="14">
        <f>SUM(Tableau1[[#This Row],[Exercices d''obsevation]:[TIC]])</f>
        <v>85</v>
      </c>
      <c r="P47" s="26">
        <f>AVERAGE(Tableau1[[#This Row],[Exercices d''obsevation]:[TIC]])</f>
        <v>7.7272727272727275</v>
      </c>
      <c r="Q47" s="14">
        <f>RANK(Tableau1[[#This Row],[Moyenne]],Tableau1[Moyenne],0)</f>
        <v>46</v>
      </c>
      <c r="R47" s="10" t="str">
        <f>IF(Tableau1[[#This Row],[Moyenne]]&gt;=5,"Validé","Non validé")</f>
        <v>Validé</v>
      </c>
    </row>
    <row r="48" spans="1:18" ht="24.95" customHeight="1" thickBot="1" x14ac:dyDescent="0.3">
      <c r="A48" s="2">
        <v>45</v>
      </c>
      <c r="B48" s="9" t="s">
        <v>41</v>
      </c>
      <c r="C48" s="12" t="s">
        <v>142</v>
      </c>
      <c r="D48" s="12">
        <v>8</v>
      </c>
      <c r="E48" s="12">
        <v>8</v>
      </c>
      <c r="F48" s="12">
        <v>8</v>
      </c>
      <c r="G48" s="12">
        <v>10</v>
      </c>
      <c r="H48" s="12">
        <v>8</v>
      </c>
      <c r="I48" s="12">
        <v>10</v>
      </c>
      <c r="J48" s="12">
        <v>0</v>
      </c>
      <c r="K48" s="12">
        <v>8</v>
      </c>
      <c r="L48" s="12">
        <v>5</v>
      </c>
      <c r="M48" s="12">
        <v>10</v>
      </c>
      <c r="N48" s="12">
        <v>10</v>
      </c>
      <c r="O48" s="14">
        <f>SUM(Tableau1[[#This Row],[Exercices d''obsevation]:[TIC]])</f>
        <v>85</v>
      </c>
      <c r="P48" s="26">
        <f>AVERAGE(Tableau1[[#This Row],[Exercices d''obsevation]:[TIC]])</f>
        <v>7.7272727272727275</v>
      </c>
      <c r="Q48" s="14">
        <f>RANK(Tableau1[[#This Row],[Moyenne]],Tableau1[Moyenne],0)</f>
        <v>46</v>
      </c>
      <c r="R48" s="10" t="str">
        <f>IF(Tableau1[[#This Row],[Moyenne]]&gt;=5,"Validé","Non validé")</f>
        <v>Validé</v>
      </c>
    </row>
    <row r="49" spans="1:18" ht="24.95" customHeight="1" thickBot="1" x14ac:dyDescent="0.3">
      <c r="A49" s="2">
        <v>5</v>
      </c>
      <c r="B49" s="9" t="s">
        <v>14</v>
      </c>
      <c r="C49" s="12" t="s">
        <v>142</v>
      </c>
      <c r="D49" s="12">
        <v>9</v>
      </c>
      <c r="E49" s="12">
        <v>10</v>
      </c>
      <c r="F49" s="12">
        <v>8</v>
      </c>
      <c r="G49" s="12">
        <v>6</v>
      </c>
      <c r="H49" s="12">
        <v>7</v>
      </c>
      <c r="I49" s="12">
        <v>10</v>
      </c>
      <c r="J49" s="12">
        <v>4</v>
      </c>
      <c r="K49" s="12">
        <v>8</v>
      </c>
      <c r="L49" s="12">
        <v>6</v>
      </c>
      <c r="M49" s="12">
        <v>10</v>
      </c>
      <c r="N49" s="12">
        <v>6</v>
      </c>
      <c r="O49" s="14">
        <f>SUM(Tableau1[[#This Row],[Exercices d''obsevation]:[TIC]])</f>
        <v>84</v>
      </c>
      <c r="P49" s="26">
        <f>AVERAGE(Tableau1[[#This Row],[Exercices d''obsevation]:[TIC]])</f>
        <v>7.6363636363636367</v>
      </c>
      <c r="Q49" s="14">
        <f>RANK(Tableau1[[#This Row],[Moyenne]],Tableau1[Moyenne],0)</f>
        <v>48</v>
      </c>
      <c r="R49" s="10" t="str">
        <f>IF(Tableau1[[#This Row],[Moyenne]]&gt;=5,"Validé","Non validé")</f>
        <v>Validé</v>
      </c>
    </row>
    <row r="50" spans="1:18" ht="24.95" customHeight="1" thickBot="1" x14ac:dyDescent="0.3">
      <c r="A50" s="2">
        <v>15</v>
      </c>
      <c r="B50" s="9" t="s">
        <v>17</v>
      </c>
      <c r="C50" s="12" t="s">
        <v>142</v>
      </c>
      <c r="D50" s="12">
        <v>9</v>
      </c>
      <c r="E50" s="12">
        <v>9</v>
      </c>
      <c r="F50" s="12">
        <v>8</v>
      </c>
      <c r="G50" s="12">
        <v>9</v>
      </c>
      <c r="H50" s="12">
        <v>8</v>
      </c>
      <c r="I50" s="12">
        <v>9</v>
      </c>
      <c r="J50" s="12">
        <v>0</v>
      </c>
      <c r="K50" s="12">
        <v>5</v>
      </c>
      <c r="L50" s="12">
        <v>8</v>
      </c>
      <c r="M50" s="12">
        <v>10</v>
      </c>
      <c r="N50" s="12">
        <v>9</v>
      </c>
      <c r="O50" s="14">
        <f>SUM(Tableau1[[#This Row],[Exercices d''obsevation]:[TIC]])</f>
        <v>84</v>
      </c>
      <c r="P50" s="26">
        <f>AVERAGE(Tableau1[[#This Row],[Exercices d''obsevation]:[TIC]])</f>
        <v>7.6363636363636367</v>
      </c>
      <c r="Q50" s="14">
        <f>RANK(Tableau1[[#This Row],[Moyenne]],Tableau1[Moyenne],0)</f>
        <v>48</v>
      </c>
      <c r="R50" s="10" t="str">
        <f>IF(Tableau1[[#This Row],[Moyenne]]&gt;=5,"Validé","Non validé")</f>
        <v>Validé</v>
      </c>
    </row>
    <row r="51" spans="1:18" ht="24.95" customHeight="1" thickBot="1" x14ac:dyDescent="0.3">
      <c r="A51" s="2">
        <v>67</v>
      </c>
      <c r="B51" s="9" t="s">
        <v>16</v>
      </c>
      <c r="C51" s="12" t="s">
        <v>142</v>
      </c>
      <c r="D51" s="12">
        <v>10</v>
      </c>
      <c r="E51" s="12">
        <v>10</v>
      </c>
      <c r="F51" s="12">
        <v>8</v>
      </c>
      <c r="G51" s="12">
        <v>10</v>
      </c>
      <c r="H51" s="12">
        <v>7</v>
      </c>
      <c r="I51" s="12">
        <v>8</v>
      </c>
      <c r="J51" s="12">
        <v>0</v>
      </c>
      <c r="K51" s="12">
        <v>7</v>
      </c>
      <c r="L51" s="12">
        <v>6</v>
      </c>
      <c r="M51" s="12">
        <v>10</v>
      </c>
      <c r="N51" s="12">
        <v>8</v>
      </c>
      <c r="O51" s="14">
        <f>SUM(Tableau1[[#This Row],[Exercices d''obsevation]:[TIC]])</f>
        <v>84</v>
      </c>
      <c r="P51" s="26">
        <f>AVERAGE(Tableau1[[#This Row],[Exercices d''obsevation]:[TIC]])</f>
        <v>7.6363636363636367</v>
      </c>
      <c r="Q51" s="14">
        <f>RANK(Tableau1[[#This Row],[Moyenne]],Tableau1[Moyenne],0)</f>
        <v>48</v>
      </c>
      <c r="R51" s="10" t="str">
        <f>IF(Tableau1[[#This Row],[Moyenne]]&gt;=5,"Validé","Non validé")</f>
        <v>Validé</v>
      </c>
    </row>
    <row r="52" spans="1:18" ht="24.95" customHeight="1" thickBot="1" x14ac:dyDescent="0.3">
      <c r="A52" s="2">
        <v>48</v>
      </c>
      <c r="B52" s="1" t="s">
        <v>108</v>
      </c>
      <c r="C52" s="44" t="s">
        <v>143</v>
      </c>
      <c r="D52" s="11">
        <v>10</v>
      </c>
      <c r="E52" s="11">
        <v>10</v>
      </c>
      <c r="F52" s="11">
        <v>8</v>
      </c>
      <c r="G52" s="11">
        <v>3</v>
      </c>
      <c r="H52" s="11">
        <v>8</v>
      </c>
      <c r="I52" s="11">
        <v>9</v>
      </c>
      <c r="J52" s="11">
        <v>0</v>
      </c>
      <c r="K52" s="11">
        <v>9</v>
      </c>
      <c r="L52" s="11">
        <v>9</v>
      </c>
      <c r="M52" s="12">
        <v>10</v>
      </c>
      <c r="N52" s="11">
        <v>8</v>
      </c>
      <c r="O52" s="11">
        <f>SUM(Tableau1[[#This Row],[Exercices d''obsevation]:[TIC]])</f>
        <v>84</v>
      </c>
      <c r="P52" s="25">
        <f>AVERAGE(Tableau1[[#This Row],[Exercices d''obsevation]:[TIC]])</f>
        <v>7.6363636363636367</v>
      </c>
      <c r="Q52" s="11">
        <f>RANK(Tableau1[[#This Row],[Moyenne]],Tableau1[Moyenne],0)</f>
        <v>48</v>
      </c>
      <c r="R52" s="3" t="str">
        <f>IF(Tableau1[[#This Row],[Moyenne]]&gt;=5,"Validé","Non validé")</f>
        <v>Validé</v>
      </c>
    </row>
    <row r="53" spans="1:18" ht="24.95" customHeight="1" thickBot="1" x14ac:dyDescent="0.3">
      <c r="A53" s="2">
        <v>29</v>
      </c>
      <c r="B53" s="9" t="s">
        <v>107</v>
      </c>
      <c r="C53" s="12" t="s">
        <v>142</v>
      </c>
      <c r="D53" s="12">
        <v>10</v>
      </c>
      <c r="E53" s="12">
        <v>8</v>
      </c>
      <c r="F53" s="12">
        <v>8</v>
      </c>
      <c r="G53" s="12">
        <v>9</v>
      </c>
      <c r="H53" s="12">
        <v>6</v>
      </c>
      <c r="I53" s="12">
        <v>9</v>
      </c>
      <c r="J53" s="12">
        <v>0</v>
      </c>
      <c r="K53" s="12">
        <v>6</v>
      </c>
      <c r="L53" s="12">
        <v>8</v>
      </c>
      <c r="M53" s="12">
        <v>10</v>
      </c>
      <c r="N53" s="12">
        <v>9</v>
      </c>
      <c r="O53" s="14">
        <f>SUM(Tableau1[[#This Row],[Exercices d''obsevation]:[TIC]])</f>
        <v>83</v>
      </c>
      <c r="P53" s="26">
        <f>AVERAGE(Tableau1[[#This Row],[Exercices d''obsevation]:[TIC]])</f>
        <v>7.5454545454545459</v>
      </c>
      <c r="Q53" s="14">
        <f>RANK(Tableau1[[#This Row],[Moyenne]],Tableau1[Moyenne],0)</f>
        <v>52</v>
      </c>
      <c r="R53" s="10" t="str">
        <f>IF(Tableau1[[#This Row],[Moyenne]]&gt;=5,"Validé","Non validé")</f>
        <v>Validé</v>
      </c>
    </row>
    <row r="54" spans="1:18" ht="24.95" customHeight="1" thickBot="1" x14ac:dyDescent="0.3">
      <c r="A54" s="2">
        <v>71</v>
      </c>
      <c r="B54" s="9" t="s">
        <v>11</v>
      </c>
      <c r="C54" s="12" t="s">
        <v>142</v>
      </c>
      <c r="D54" s="12">
        <v>10</v>
      </c>
      <c r="E54" s="12">
        <v>10</v>
      </c>
      <c r="F54" s="12">
        <v>9</v>
      </c>
      <c r="G54" s="12">
        <v>5</v>
      </c>
      <c r="H54" s="12">
        <v>7</v>
      </c>
      <c r="I54" s="12">
        <v>8</v>
      </c>
      <c r="J54" s="12">
        <v>0</v>
      </c>
      <c r="K54" s="12">
        <v>8</v>
      </c>
      <c r="L54" s="12">
        <v>8</v>
      </c>
      <c r="M54" s="12">
        <v>10</v>
      </c>
      <c r="N54" s="12">
        <v>8</v>
      </c>
      <c r="O54" s="14">
        <f>SUM(Tableau1[[#This Row],[Exercices d''obsevation]:[TIC]])</f>
        <v>83</v>
      </c>
      <c r="P54" s="26">
        <f>AVERAGE(Tableau1[[#This Row],[Exercices d''obsevation]:[TIC]])</f>
        <v>7.5454545454545459</v>
      </c>
      <c r="Q54" s="14">
        <f>RANK(Tableau1[[#This Row],[Moyenne]],Tableau1[Moyenne],0)</f>
        <v>52</v>
      </c>
      <c r="R54" s="10" t="str">
        <f>IF(Tableau1[[#This Row],[Moyenne]]&gt;=5,"Validé","Non validé")</f>
        <v>Validé</v>
      </c>
    </row>
    <row r="55" spans="1:18" ht="24.95" customHeight="1" thickBot="1" x14ac:dyDescent="0.3">
      <c r="A55" s="2">
        <v>9</v>
      </c>
      <c r="B55" s="1" t="s">
        <v>79</v>
      </c>
      <c r="C55" s="44" t="s">
        <v>143</v>
      </c>
      <c r="D55" s="11">
        <v>8</v>
      </c>
      <c r="E55" s="11">
        <v>8</v>
      </c>
      <c r="F55" s="11">
        <v>8</v>
      </c>
      <c r="G55" s="11">
        <v>8</v>
      </c>
      <c r="H55" s="11">
        <v>8</v>
      </c>
      <c r="I55" s="11">
        <v>9</v>
      </c>
      <c r="J55" s="11">
        <v>0</v>
      </c>
      <c r="K55" s="11">
        <v>9</v>
      </c>
      <c r="L55" s="11">
        <v>6</v>
      </c>
      <c r="M55" s="12">
        <v>10</v>
      </c>
      <c r="N55" s="11">
        <v>8</v>
      </c>
      <c r="O55" s="11">
        <f>SUM(Tableau1[[#This Row],[Exercices d''obsevation]:[TIC]])</f>
        <v>82</v>
      </c>
      <c r="P55" s="25">
        <f>AVERAGE(Tableau1[[#This Row],[Exercices d''obsevation]:[TIC]])</f>
        <v>7.4545454545454541</v>
      </c>
      <c r="Q55" s="11">
        <f>RANK(Tableau1[[#This Row],[Moyenne]],Tableau1[Moyenne],0)</f>
        <v>54</v>
      </c>
      <c r="R55" s="3" t="str">
        <f>IF(Tableau1[[#This Row],[Moyenne]]&gt;=5,"Validé","Non validé")</f>
        <v>Validé</v>
      </c>
    </row>
    <row r="56" spans="1:18" ht="24.95" customHeight="1" thickBot="1" x14ac:dyDescent="0.3">
      <c r="A56" s="2">
        <v>34</v>
      </c>
      <c r="B56" s="1" t="s">
        <v>67</v>
      </c>
      <c r="C56" s="44" t="s">
        <v>143</v>
      </c>
      <c r="D56" s="11">
        <v>9</v>
      </c>
      <c r="E56" s="11">
        <v>10</v>
      </c>
      <c r="F56" s="11">
        <v>8</v>
      </c>
      <c r="G56" s="11">
        <v>6</v>
      </c>
      <c r="H56" s="11">
        <v>8</v>
      </c>
      <c r="I56" s="11">
        <v>9</v>
      </c>
      <c r="J56" s="11">
        <v>0</v>
      </c>
      <c r="K56" s="11">
        <v>7</v>
      </c>
      <c r="L56" s="11">
        <v>9</v>
      </c>
      <c r="M56" s="12">
        <v>10</v>
      </c>
      <c r="N56" s="11">
        <v>6</v>
      </c>
      <c r="O56" s="11">
        <f>SUM(Tableau1[[#This Row],[Exercices d''obsevation]:[TIC]])</f>
        <v>82</v>
      </c>
      <c r="P56" s="25">
        <f>AVERAGE(Tableau1[[#This Row],[Exercices d''obsevation]:[TIC]])</f>
        <v>7.4545454545454541</v>
      </c>
      <c r="Q56" s="11">
        <f>RANK(Tableau1[[#This Row],[Moyenne]],Tableau1[Moyenne],0)</f>
        <v>54</v>
      </c>
      <c r="R56" s="3" t="str">
        <f>IF(Tableau1[[#This Row],[Moyenne]]&gt;=5,"Validé","Non validé")</f>
        <v>Validé</v>
      </c>
    </row>
    <row r="57" spans="1:18" ht="24.95" customHeight="1" thickBot="1" x14ac:dyDescent="0.3">
      <c r="A57" s="2">
        <v>65</v>
      </c>
      <c r="B57" s="1" t="s">
        <v>70</v>
      </c>
      <c r="C57" s="44" t="s">
        <v>143</v>
      </c>
      <c r="D57" s="11">
        <v>9</v>
      </c>
      <c r="E57" s="11">
        <v>8</v>
      </c>
      <c r="F57" s="11">
        <v>8</v>
      </c>
      <c r="G57" s="11">
        <v>4</v>
      </c>
      <c r="H57" s="11">
        <v>8</v>
      </c>
      <c r="I57" s="11">
        <v>9</v>
      </c>
      <c r="J57" s="11">
        <v>6</v>
      </c>
      <c r="K57" s="11">
        <v>7</v>
      </c>
      <c r="L57" s="11">
        <v>6</v>
      </c>
      <c r="M57" s="12">
        <v>10</v>
      </c>
      <c r="N57" s="11">
        <v>7</v>
      </c>
      <c r="O57" s="11">
        <f>SUM(Tableau1[[#This Row],[Exercices d''obsevation]:[TIC]])</f>
        <v>82</v>
      </c>
      <c r="P57" s="25">
        <f>AVERAGE(Tableau1[[#This Row],[Exercices d''obsevation]:[TIC]])</f>
        <v>7.4545454545454541</v>
      </c>
      <c r="Q57" s="11">
        <f>RANK(Tableau1[[#This Row],[Moyenne]],Tableau1[Moyenne],0)</f>
        <v>54</v>
      </c>
      <c r="R57" s="3" t="str">
        <f>IF(Tableau1[[#This Row],[Moyenne]]&gt;=5,"Validé","Non validé")</f>
        <v>Validé</v>
      </c>
    </row>
    <row r="58" spans="1:18" ht="24.95" customHeight="1" thickBot="1" x14ac:dyDescent="0.3">
      <c r="A58" s="2">
        <v>73</v>
      </c>
      <c r="B58" s="1" t="s">
        <v>62</v>
      </c>
      <c r="C58" s="44" t="s">
        <v>143</v>
      </c>
      <c r="D58" s="11">
        <v>9</v>
      </c>
      <c r="E58" s="11">
        <v>8</v>
      </c>
      <c r="F58" s="11">
        <v>9</v>
      </c>
      <c r="G58" s="11">
        <v>9</v>
      </c>
      <c r="H58" s="11">
        <v>6</v>
      </c>
      <c r="I58" s="11">
        <v>9</v>
      </c>
      <c r="J58" s="11">
        <v>2</v>
      </c>
      <c r="K58" s="11">
        <v>6</v>
      </c>
      <c r="L58" s="11">
        <v>5</v>
      </c>
      <c r="M58" s="12">
        <v>10</v>
      </c>
      <c r="N58" s="11">
        <v>9</v>
      </c>
      <c r="O58" s="11">
        <f>SUM(Tableau1[[#This Row],[Exercices d''obsevation]:[TIC]])</f>
        <v>82</v>
      </c>
      <c r="P58" s="25">
        <f>AVERAGE(Tableau1[[#This Row],[Exercices d''obsevation]:[TIC]])</f>
        <v>7.4545454545454541</v>
      </c>
      <c r="Q58" s="11">
        <f>RANK(Tableau1[[#This Row],[Moyenne]],Tableau1[Moyenne],0)</f>
        <v>54</v>
      </c>
      <c r="R58" s="3" t="str">
        <f>IF(Tableau1[[#This Row],[Moyenne]]&gt;=5,"Validé","Non validé")</f>
        <v>Validé</v>
      </c>
    </row>
    <row r="59" spans="1:18" ht="24.95" customHeight="1" thickBot="1" x14ac:dyDescent="0.3">
      <c r="A59" s="2">
        <v>19</v>
      </c>
      <c r="B59" s="9" t="s">
        <v>21</v>
      </c>
      <c r="C59" s="12" t="s">
        <v>142</v>
      </c>
      <c r="D59" s="12">
        <v>9</v>
      </c>
      <c r="E59" s="12">
        <v>10</v>
      </c>
      <c r="F59" s="12">
        <v>9</v>
      </c>
      <c r="G59" s="12">
        <v>7</v>
      </c>
      <c r="H59" s="12">
        <v>8</v>
      </c>
      <c r="I59" s="12">
        <v>9</v>
      </c>
      <c r="J59" s="12">
        <v>0</v>
      </c>
      <c r="K59" s="12">
        <v>6</v>
      </c>
      <c r="L59" s="12">
        <v>6</v>
      </c>
      <c r="M59" s="12">
        <v>10</v>
      </c>
      <c r="N59" s="12">
        <v>7</v>
      </c>
      <c r="O59" s="14">
        <f>SUM(Tableau1[[#This Row],[Exercices d''obsevation]:[TIC]])</f>
        <v>81</v>
      </c>
      <c r="P59" s="26">
        <f>AVERAGE(Tableau1[[#This Row],[Exercices d''obsevation]:[TIC]])</f>
        <v>7.3636363636363633</v>
      </c>
      <c r="Q59" s="14">
        <f>RANK(Tableau1[[#This Row],[Moyenne]],Tableau1[Moyenne],0)</f>
        <v>58</v>
      </c>
      <c r="R59" s="10" t="str">
        <f>IF(Tableau1[[#This Row],[Moyenne]]&gt;=5,"Validé","Non validé")</f>
        <v>Validé</v>
      </c>
    </row>
    <row r="60" spans="1:18" ht="24.95" customHeight="1" thickBot="1" x14ac:dyDescent="0.3">
      <c r="A60" s="2">
        <v>30</v>
      </c>
      <c r="B60" s="9" t="s">
        <v>74</v>
      </c>
      <c r="C60" s="12" t="s">
        <v>142</v>
      </c>
      <c r="D60" s="12">
        <v>7</v>
      </c>
      <c r="E60" s="12">
        <v>8</v>
      </c>
      <c r="F60" s="12">
        <v>8</v>
      </c>
      <c r="G60" s="12">
        <v>4</v>
      </c>
      <c r="H60" s="12">
        <v>6</v>
      </c>
      <c r="I60" s="12">
        <v>9</v>
      </c>
      <c r="J60" s="12">
        <v>8</v>
      </c>
      <c r="K60" s="12">
        <v>8</v>
      </c>
      <c r="L60" s="12">
        <v>6</v>
      </c>
      <c r="M60" s="12">
        <v>10</v>
      </c>
      <c r="N60" s="12">
        <v>7</v>
      </c>
      <c r="O60" s="14">
        <f>SUM(Tableau1[[#This Row],[Exercices d''obsevation]:[TIC]])</f>
        <v>81</v>
      </c>
      <c r="P60" s="26">
        <f>AVERAGE(Tableau1[[#This Row],[Exercices d''obsevation]:[TIC]])</f>
        <v>7.3636363636363633</v>
      </c>
      <c r="Q60" s="14">
        <f>RANK(Tableau1[[#This Row],[Moyenne]],Tableau1[Moyenne],0)</f>
        <v>58</v>
      </c>
      <c r="R60" s="10" t="str">
        <f>IF(Tableau1[[#This Row],[Moyenne]]&gt;=5,"Validé","Non validé")</f>
        <v>Validé</v>
      </c>
    </row>
    <row r="61" spans="1:18" ht="24.95" customHeight="1" thickBot="1" x14ac:dyDescent="0.3">
      <c r="A61" s="2">
        <v>54</v>
      </c>
      <c r="B61" s="1" t="s">
        <v>15</v>
      </c>
      <c r="C61" s="44" t="s">
        <v>143</v>
      </c>
      <c r="D61" s="11">
        <v>8</v>
      </c>
      <c r="E61" s="11">
        <v>10</v>
      </c>
      <c r="F61" s="11">
        <v>8</v>
      </c>
      <c r="G61" s="11">
        <v>8</v>
      </c>
      <c r="H61" s="11">
        <v>7</v>
      </c>
      <c r="I61" s="11">
        <v>10</v>
      </c>
      <c r="J61" s="11">
        <v>0</v>
      </c>
      <c r="K61" s="11">
        <v>6</v>
      </c>
      <c r="L61" s="11">
        <v>6</v>
      </c>
      <c r="M61" s="12">
        <v>10</v>
      </c>
      <c r="N61" s="11">
        <v>8</v>
      </c>
      <c r="O61" s="11">
        <f>SUM(Tableau1[[#This Row],[Exercices d''obsevation]:[TIC]])</f>
        <v>81</v>
      </c>
      <c r="P61" s="25">
        <f>AVERAGE(Tableau1[[#This Row],[Exercices d''obsevation]:[TIC]])</f>
        <v>7.3636363636363633</v>
      </c>
      <c r="Q61" s="11">
        <f>RANK(Tableau1[[#This Row],[Moyenne]],Tableau1[Moyenne],0)</f>
        <v>58</v>
      </c>
      <c r="R61" s="3" t="str">
        <f>IF(Tableau1[[#This Row],[Moyenne]]&gt;=5,"Validé","Non validé")</f>
        <v>Validé</v>
      </c>
    </row>
    <row r="62" spans="1:18" ht="24.95" customHeight="1" thickBot="1" x14ac:dyDescent="0.3">
      <c r="A62" s="2">
        <v>52</v>
      </c>
      <c r="B62" s="9" t="s">
        <v>42</v>
      </c>
      <c r="C62" s="12" t="s">
        <v>142</v>
      </c>
      <c r="D62" s="12">
        <v>10</v>
      </c>
      <c r="E62" s="12">
        <v>6</v>
      </c>
      <c r="F62" s="12">
        <v>8</v>
      </c>
      <c r="G62" s="12">
        <v>10</v>
      </c>
      <c r="H62" s="12">
        <v>6</v>
      </c>
      <c r="I62" s="12">
        <v>10</v>
      </c>
      <c r="J62" s="12">
        <v>0</v>
      </c>
      <c r="K62" s="12">
        <v>6</v>
      </c>
      <c r="L62" s="12">
        <v>6</v>
      </c>
      <c r="M62" s="12">
        <v>10</v>
      </c>
      <c r="N62" s="12">
        <v>8</v>
      </c>
      <c r="O62" s="14">
        <f>SUM(Tableau1[[#This Row],[Exercices d''obsevation]:[TIC]])</f>
        <v>80</v>
      </c>
      <c r="P62" s="26">
        <f>AVERAGE(Tableau1[[#This Row],[Exercices d''obsevation]:[TIC]])</f>
        <v>7.2727272727272725</v>
      </c>
      <c r="Q62" s="14">
        <f>RANK(Tableau1[[#This Row],[Moyenne]],Tableau1[Moyenne],0)</f>
        <v>61</v>
      </c>
      <c r="R62" s="10" t="str">
        <f>IF(Tableau1[[#This Row],[Moyenne]]&gt;=5,"Validé","Non validé")</f>
        <v>Validé</v>
      </c>
    </row>
    <row r="63" spans="1:18" ht="24.95" customHeight="1" thickBot="1" x14ac:dyDescent="0.3">
      <c r="A63" s="2">
        <v>33</v>
      </c>
      <c r="B63" s="1" t="s">
        <v>58</v>
      </c>
      <c r="C63" s="44" t="s">
        <v>143</v>
      </c>
      <c r="D63" s="11">
        <v>8</v>
      </c>
      <c r="E63" s="11">
        <v>8</v>
      </c>
      <c r="F63" s="11">
        <v>8</v>
      </c>
      <c r="G63" s="11">
        <v>7</v>
      </c>
      <c r="H63" s="11">
        <v>8</v>
      </c>
      <c r="I63" s="11">
        <v>10</v>
      </c>
      <c r="J63" s="11">
        <v>1</v>
      </c>
      <c r="K63" s="11">
        <v>8</v>
      </c>
      <c r="L63" s="11">
        <v>5</v>
      </c>
      <c r="M63" s="12">
        <v>10</v>
      </c>
      <c r="N63" s="11">
        <v>7</v>
      </c>
      <c r="O63" s="11">
        <f>SUM(Tableau1[[#This Row],[Exercices d''obsevation]:[TIC]])</f>
        <v>80</v>
      </c>
      <c r="P63" s="25">
        <f>AVERAGE(Tableau1[[#This Row],[Exercices d''obsevation]:[TIC]])</f>
        <v>7.2727272727272725</v>
      </c>
      <c r="Q63" s="11">
        <f>RANK(Tableau1[[#This Row],[Moyenne]],Tableau1[Moyenne],0)</f>
        <v>61</v>
      </c>
      <c r="R63" s="3" t="str">
        <f>IF(Tableau1[[#This Row],[Moyenne]]&gt;=5,"Validé","Non validé")</f>
        <v>Validé</v>
      </c>
    </row>
    <row r="64" spans="1:18" ht="24.95" customHeight="1" thickBot="1" x14ac:dyDescent="0.3">
      <c r="A64" s="2">
        <v>57</v>
      </c>
      <c r="B64" s="9" t="s">
        <v>55</v>
      </c>
      <c r="C64" s="12" t="s">
        <v>142</v>
      </c>
      <c r="D64" s="12">
        <v>10</v>
      </c>
      <c r="E64" s="12">
        <v>8</v>
      </c>
      <c r="F64" s="12">
        <v>8</v>
      </c>
      <c r="G64" s="12">
        <v>4</v>
      </c>
      <c r="H64" s="12">
        <v>7</v>
      </c>
      <c r="I64" s="12">
        <v>10</v>
      </c>
      <c r="J64" s="12">
        <v>0</v>
      </c>
      <c r="K64" s="12">
        <v>9</v>
      </c>
      <c r="L64" s="12">
        <v>5</v>
      </c>
      <c r="M64" s="12">
        <v>10</v>
      </c>
      <c r="N64" s="12">
        <v>8</v>
      </c>
      <c r="O64" s="14">
        <f>SUM(Tableau1[[#This Row],[Exercices d''obsevation]:[TIC]])</f>
        <v>79</v>
      </c>
      <c r="P64" s="26">
        <f>AVERAGE(Tableau1[[#This Row],[Exercices d''obsevation]:[TIC]])</f>
        <v>7.1818181818181817</v>
      </c>
      <c r="Q64" s="14">
        <f>RANK(Tableau1[[#This Row],[Moyenne]],Tableau1[Moyenne],0)</f>
        <v>63</v>
      </c>
      <c r="R64" s="10" t="str">
        <f>IF(Tableau1[[#This Row],[Moyenne]]&gt;=5,"Validé","Non validé")</f>
        <v>Validé</v>
      </c>
    </row>
    <row r="65" spans="1:18" ht="24.95" customHeight="1" thickBot="1" x14ac:dyDescent="0.3">
      <c r="A65" s="2">
        <v>18</v>
      </c>
      <c r="B65" s="1" t="s">
        <v>71</v>
      </c>
      <c r="C65" s="44" t="s">
        <v>143</v>
      </c>
      <c r="D65" s="11">
        <v>10</v>
      </c>
      <c r="E65" s="11">
        <v>8</v>
      </c>
      <c r="F65" s="11">
        <v>7</v>
      </c>
      <c r="G65" s="11">
        <v>6</v>
      </c>
      <c r="H65" s="11">
        <v>8</v>
      </c>
      <c r="I65" s="11">
        <v>9</v>
      </c>
      <c r="J65" s="11">
        <v>2</v>
      </c>
      <c r="K65" s="11">
        <v>7</v>
      </c>
      <c r="L65" s="11">
        <v>5</v>
      </c>
      <c r="M65" s="12">
        <v>10</v>
      </c>
      <c r="N65" s="11">
        <v>6</v>
      </c>
      <c r="O65" s="11">
        <f>SUM(Tableau1[[#This Row],[Exercices d''obsevation]:[TIC]])</f>
        <v>78</v>
      </c>
      <c r="P65" s="25">
        <f>AVERAGE(Tableau1[[#This Row],[Exercices d''obsevation]:[TIC]])</f>
        <v>7.0909090909090908</v>
      </c>
      <c r="Q65" s="11">
        <f>RANK(Tableau1[[#This Row],[Moyenne]],Tableau1[Moyenne],0)</f>
        <v>64</v>
      </c>
      <c r="R65" s="3" t="str">
        <f>IF(Tableau1[[#This Row],[Moyenne]]&gt;=5,"Validé","Non validé")</f>
        <v>Validé</v>
      </c>
    </row>
    <row r="66" spans="1:18" ht="24.95" customHeight="1" thickBot="1" x14ac:dyDescent="0.3">
      <c r="A66" s="2">
        <v>50</v>
      </c>
      <c r="B66" s="1" t="s">
        <v>63</v>
      </c>
      <c r="C66" s="44" t="s">
        <v>143</v>
      </c>
      <c r="D66" s="11">
        <v>6</v>
      </c>
      <c r="E66" s="11">
        <v>8</v>
      </c>
      <c r="F66" s="11">
        <v>8</v>
      </c>
      <c r="G66" s="11">
        <v>10</v>
      </c>
      <c r="H66" s="11">
        <v>7</v>
      </c>
      <c r="I66" s="11">
        <v>10</v>
      </c>
      <c r="J66" s="11">
        <v>0</v>
      </c>
      <c r="K66" s="11">
        <v>6</v>
      </c>
      <c r="L66" s="11">
        <v>6</v>
      </c>
      <c r="M66" s="12">
        <v>10</v>
      </c>
      <c r="N66" s="11">
        <v>7</v>
      </c>
      <c r="O66" s="11">
        <f>SUM(Tableau1[[#This Row],[Exercices d''obsevation]:[TIC]])</f>
        <v>78</v>
      </c>
      <c r="P66" s="25">
        <f>AVERAGE(Tableau1[[#This Row],[Exercices d''obsevation]:[TIC]])</f>
        <v>7.0909090909090908</v>
      </c>
      <c r="Q66" s="11">
        <f>RANK(Tableau1[[#This Row],[Moyenne]],Tableau1[Moyenne],0)</f>
        <v>64</v>
      </c>
      <c r="R66" s="3" t="str">
        <f>IF(Tableau1[[#This Row],[Moyenne]]&gt;=5,"Validé","Non validé")</f>
        <v>Validé</v>
      </c>
    </row>
    <row r="67" spans="1:18" ht="24.95" customHeight="1" thickBot="1" x14ac:dyDescent="0.3">
      <c r="A67" s="2">
        <v>81</v>
      </c>
      <c r="B67" s="1" t="s">
        <v>57</v>
      </c>
      <c r="C67" s="44" t="s">
        <v>143</v>
      </c>
      <c r="D67" s="11">
        <v>10</v>
      </c>
      <c r="E67" s="11">
        <v>8</v>
      </c>
      <c r="F67" s="11">
        <v>8</v>
      </c>
      <c r="G67" s="11">
        <v>7</v>
      </c>
      <c r="H67" s="11">
        <v>7</v>
      </c>
      <c r="I67" s="11">
        <v>9</v>
      </c>
      <c r="J67" s="11">
        <v>0</v>
      </c>
      <c r="K67" s="11">
        <v>6</v>
      </c>
      <c r="L67" s="11">
        <v>6</v>
      </c>
      <c r="M67" s="12">
        <v>10</v>
      </c>
      <c r="N67" s="11">
        <v>7</v>
      </c>
      <c r="O67" s="11">
        <f>SUM(Tableau1[[#This Row],[Exercices d''obsevation]:[TIC]])</f>
        <v>78</v>
      </c>
      <c r="P67" s="25">
        <f>AVERAGE(Tableau1[[#This Row],[Exercices d''obsevation]:[TIC]])</f>
        <v>7.0909090909090908</v>
      </c>
      <c r="Q67" s="11">
        <f>RANK(Tableau1[[#This Row],[Moyenne]],Tableau1[Moyenne],0)</f>
        <v>64</v>
      </c>
      <c r="R67" s="3" t="str">
        <f>IF(Tableau1[[#This Row],[Moyenne]]&gt;=5,"Validé","Non validé")</f>
        <v>Validé</v>
      </c>
    </row>
    <row r="68" spans="1:18" ht="24.95" customHeight="1" thickBot="1" x14ac:dyDescent="0.3">
      <c r="A68" s="2">
        <v>58</v>
      </c>
      <c r="B68" s="9" t="s">
        <v>65</v>
      </c>
      <c r="C68" s="12" t="s">
        <v>142</v>
      </c>
      <c r="D68" s="12">
        <v>10</v>
      </c>
      <c r="E68" s="12">
        <v>8</v>
      </c>
      <c r="F68" s="12">
        <v>8</v>
      </c>
      <c r="G68" s="12">
        <v>4</v>
      </c>
      <c r="H68" s="12">
        <v>8</v>
      </c>
      <c r="I68" s="12">
        <v>9</v>
      </c>
      <c r="J68" s="12">
        <v>0</v>
      </c>
      <c r="K68" s="12">
        <v>7</v>
      </c>
      <c r="L68" s="12">
        <v>5</v>
      </c>
      <c r="M68" s="12">
        <v>10</v>
      </c>
      <c r="N68" s="12">
        <v>8</v>
      </c>
      <c r="O68" s="14">
        <f>SUM(Tableau1[[#This Row],[Exercices d''obsevation]:[TIC]])</f>
        <v>77</v>
      </c>
      <c r="P68" s="26">
        <f>AVERAGE(Tableau1[[#This Row],[Exercices d''obsevation]:[TIC]])</f>
        <v>7</v>
      </c>
      <c r="Q68" s="14">
        <f>RANK(Tableau1[[#This Row],[Moyenne]],Tableau1[Moyenne],0)</f>
        <v>67</v>
      </c>
      <c r="R68" s="10" t="str">
        <f>IF(Tableau1[[#This Row],[Moyenne]]&gt;=5,"Validé","Non validé")</f>
        <v>Validé</v>
      </c>
    </row>
    <row r="69" spans="1:18" ht="30" customHeight="1" thickBot="1" x14ac:dyDescent="0.3">
      <c r="A69" s="2">
        <v>70</v>
      </c>
      <c r="B69" s="9" t="s">
        <v>44</v>
      </c>
      <c r="C69" s="12" t="s">
        <v>142</v>
      </c>
      <c r="D69" s="12">
        <v>10</v>
      </c>
      <c r="E69" s="12">
        <v>10</v>
      </c>
      <c r="F69" s="12">
        <v>8</v>
      </c>
      <c r="G69" s="12">
        <v>4</v>
      </c>
      <c r="H69" s="12">
        <v>7</v>
      </c>
      <c r="I69" s="12">
        <v>10</v>
      </c>
      <c r="J69" s="12">
        <v>0</v>
      </c>
      <c r="K69" s="12">
        <v>6</v>
      </c>
      <c r="L69" s="12">
        <v>5</v>
      </c>
      <c r="M69" s="12">
        <v>10</v>
      </c>
      <c r="N69" s="12">
        <v>7</v>
      </c>
      <c r="O69" s="14">
        <f>SUM(Tableau1[[#This Row],[Exercices d''obsevation]:[TIC]])</f>
        <v>77</v>
      </c>
      <c r="P69" s="26">
        <f>AVERAGE(Tableau1[[#This Row],[Exercices d''obsevation]:[TIC]])</f>
        <v>7</v>
      </c>
      <c r="Q69" s="14">
        <f>RANK(Tableau1[[#This Row],[Moyenne]],Tableau1[Moyenne],0)</f>
        <v>67</v>
      </c>
      <c r="R69" s="10" t="str">
        <f>IF(Tableau1[[#This Row],[Moyenne]]&gt;=5,"Validé","Non validé")</f>
        <v>Validé</v>
      </c>
    </row>
    <row r="70" spans="1:18" ht="24.95" customHeight="1" thickBot="1" x14ac:dyDescent="0.3">
      <c r="A70" s="2">
        <v>75</v>
      </c>
      <c r="B70" s="1" t="s">
        <v>60</v>
      </c>
      <c r="C70" s="44" t="s">
        <v>143</v>
      </c>
      <c r="D70" s="11">
        <v>9</v>
      </c>
      <c r="E70" s="11">
        <v>10</v>
      </c>
      <c r="F70" s="11">
        <v>8</v>
      </c>
      <c r="G70" s="11">
        <v>8</v>
      </c>
      <c r="H70" s="11">
        <v>6</v>
      </c>
      <c r="I70" s="11">
        <v>5</v>
      </c>
      <c r="J70" s="11">
        <v>0</v>
      </c>
      <c r="K70" s="11">
        <v>8</v>
      </c>
      <c r="L70" s="11">
        <v>5</v>
      </c>
      <c r="M70" s="12">
        <v>10</v>
      </c>
      <c r="N70" s="11">
        <v>8</v>
      </c>
      <c r="O70" s="11">
        <f>SUM(Tableau1[[#This Row],[Exercices d''obsevation]:[TIC]])</f>
        <v>77</v>
      </c>
      <c r="P70" s="25">
        <f>AVERAGE(Tableau1[[#This Row],[Exercices d''obsevation]:[TIC]])</f>
        <v>7</v>
      </c>
      <c r="Q70" s="11">
        <f>RANK(Tableau1[[#This Row],[Moyenne]],Tableau1[Moyenne],0)</f>
        <v>67</v>
      </c>
      <c r="R70" s="3" t="str">
        <f>IF(Tableau1[[#This Row],[Moyenne]]&gt;=5,"Validé","Non validé")</f>
        <v>Validé</v>
      </c>
    </row>
    <row r="71" spans="1:18" ht="24.95" customHeight="1" thickBot="1" x14ac:dyDescent="0.3">
      <c r="A71" s="2">
        <v>47</v>
      </c>
      <c r="B71" s="9" t="s">
        <v>64</v>
      </c>
      <c r="C71" s="12" t="s">
        <v>142</v>
      </c>
      <c r="D71" s="12">
        <v>9</v>
      </c>
      <c r="E71" s="12">
        <v>8</v>
      </c>
      <c r="F71" s="12">
        <v>9</v>
      </c>
      <c r="G71" s="14">
        <v>4</v>
      </c>
      <c r="H71" s="12">
        <v>8</v>
      </c>
      <c r="I71" s="12">
        <v>8</v>
      </c>
      <c r="J71" s="12">
        <v>0</v>
      </c>
      <c r="K71" s="12">
        <v>9</v>
      </c>
      <c r="L71" s="12">
        <v>4</v>
      </c>
      <c r="M71" s="12">
        <v>10</v>
      </c>
      <c r="N71" s="14">
        <v>7</v>
      </c>
      <c r="O71" s="14">
        <f>SUM(Tableau1[[#This Row],[Exercices d''obsevation]:[TIC]])</f>
        <v>76</v>
      </c>
      <c r="P71" s="26">
        <f>AVERAGE(Tableau1[[#This Row],[Exercices d''obsevation]:[TIC]])</f>
        <v>6.9090909090909092</v>
      </c>
      <c r="Q71" s="14">
        <f>RANK(Tableau1[[#This Row],[Moyenne]],Tableau1[Moyenne],0)</f>
        <v>70</v>
      </c>
      <c r="R71" s="10" t="str">
        <f>IF(Tableau1[[#This Row],[Moyenne]]&gt;=5,"Validé","Non validé")</f>
        <v>Validé</v>
      </c>
    </row>
    <row r="72" spans="1:18" ht="24.95" customHeight="1" thickBot="1" x14ac:dyDescent="0.3">
      <c r="A72" s="2">
        <v>51</v>
      </c>
      <c r="B72" s="1" t="s">
        <v>72</v>
      </c>
      <c r="C72" s="44" t="s">
        <v>143</v>
      </c>
      <c r="D72" s="11">
        <v>8</v>
      </c>
      <c r="E72" s="11">
        <v>6</v>
      </c>
      <c r="F72" s="11">
        <v>8</v>
      </c>
      <c r="G72" s="11">
        <v>10</v>
      </c>
      <c r="H72" s="11">
        <v>7</v>
      </c>
      <c r="I72" s="11">
        <v>10</v>
      </c>
      <c r="J72" s="11">
        <v>0</v>
      </c>
      <c r="K72" s="11">
        <v>7</v>
      </c>
      <c r="L72" s="11">
        <v>3</v>
      </c>
      <c r="M72" s="12">
        <v>10</v>
      </c>
      <c r="N72" s="11">
        <v>7</v>
      </c>
      <c r="O72" s="11">
        <f>SUM(Tableau1[[#This Row],[Exercices d''obsevation]:[TIC]])</f>
        <v>76</v>
      </c>
      <c r="P72" s="25">
        <f>AVERAGE(Tableau1[[#This Row],[Exercices d''obsevation]:[TIC]])</f>
        <v>6.9090909090909092</v>
      </c>
      <c r="Q72" s="11">
        <f>RANK(Tableau1[[#This Row],[Moyenne]],Tableau1[Moyenne],0)</f>
        <v>70</v>
      </c>
      <c r="R72" s="3" t="str">
        <f>IF(Tableau1[[#This Row],[Moyenne]]&gt;=5,"Validé","Non validé")</f>
        <v>Validé</v>
      </c>
    </row>
    <row r="73" spans="1:18" ht="24.95" customHeight="1" thickBot="1" x14ac:dyDescent="0.3">
      <c r="A73" s="2">
        <v>74</v>
      </c>
      <c r="B73" s="1" t="s">
        <v>69</v>
      </c>
      <c r="C73" s="44" t="s">
        <v>143</v>
      </c>
      <c r="D73" s="11">
        <v>10</v>
      </c>
      <c r="E73" s="11">
        <v>8</v>
      </c>
      <c r="F73" s="11">
        <v>8</v>
      </c>
      <c r="G73" s="11">
        <v>9</v>
      </c>
      <c r="H73" s="11">
        <v>6</v>
      </c>
      <c r="I73" s="11">
        <v>9</v>
      </c>
      <c r="J73" s="11">
        <v>2</v>
      </c>
      <c r="K73" s="11">
        <v>8</v>
      </c>
      <c r="L73" s="11">
        <v>0</v>
      </c>
      <c r="M73" s="12">
        <v>10</v>
      </c>
      <c r="N73" s="11">
        <v>6</v>
      </c>
      <c r="O73" s="11">
        <f>SUM(Tableau1[[#This Row],[Exercices d''obsevation]:[TIC]])</f>
        <v>76</v>
      </c>
      <c r="P73" s="25">
        <f>AVERAGE(Tableau1[[#This Row],[Exercices d''obsevation]:[TIC]])</f>
        <v>6.9090909090909092</v>
      </c>
      <c r="Q73" s="11">
        <f>RANK(Tableau1[[#This Row],[Moyenne]],Tableau1[Moyenne],0)</f>
        <v>70</v>
      </c>
      <c r="R73" s="3" t="str">
        <f>IF(Tableau1[[#This Row],[Moyenne]]&gt;=5,"Validé","Non validé")</f>
        <v>Validé</v>
      </c>
    </row>
    <row r="74" spans="1:18" ht="24.95" customHeight="1" thickBot="1" x14ac:dyDescent="0.3">
      <c r="A74" s="2">
        <v>31</v>
      </c>
      <c r="B74" s="9" t="s">
        <v>26</v>
      </c>
      <c r="C74" s="12" t="s">
        <v>142</v>
      </c>
      <c r="D74" s="12">
        <v>7</v>
      </c>
      <c r="E74" s="12">
        <v>0</v>
      </c>
      <c r="F74" s="12">
        <v>9</v>
      </c>
      <c r="G74" s="12">
        <v>6</v>
      </c>
      <c r="H74" s="12">
        <v>7</v>
      </c>
      <c r="I74" s="12">
        <v>10</v>
      </c>
      <c r="J74" s="12">
        <v>2</v>
      </c>
      <c r="K74" s="12">
        <v>10</v>
      </c>
      <c r="L74" s="12">
        <v>8</v>
      </c>
      <c r="M74" s="12">
        <v>10</v>
      </c>
      <c r="N74" s="12">
        <v>6</v>
      </c>
      <c r="O74" s="14">
        <f>SUM(Tableau1[[#This Row],[Exercices d''obsevation]:[TIC]])</f>
        <v>75</v>
      </c>
      <c r="P74" s="26">
        <f>AVERAGE(Tableau1[[#This Row],[Exercices d''obsevation]:[TIC]])</f>
        <v>6.8181818181818183</v>
      </c>
      <c r="Q74" s="14">
        <f>RANK(Tableau1[[#This Row],[Moyenne]],Tableau1[Moyenne],0)</f>
        <v>73</v>
      </c>
      <c r="R74" s="10" t="str">
        <f>IF(Tableau1[[#This Row],[Moyenne]]&gt;=5,"Validé","Non validé")</f>
        <v>Validé</v>
      </c>
    </row>
    <row r="75" spans="1:18" ht="24.95" customHeight="1" thickBot="1" x14ac:dyDescent="0.3">
      <c r="A75" s="2">
        <v>79</v>
      </c>
      <c r="B75" s="22" t="s">
        <v>109</v>
      </c>
      <c r="C75" s="12" t="s">
        <v>142</v>
      </c>
      <c r="D75" s="23">
        <v>9</v>
      </c>
      <c r="E75" s="23">
        <v>8</v>
      </c>
      <c r="F75" s="23">
        <v>9</v>
      </c>
      <c r="G75" s="23">
        <v>8</v>
      </c>
      <c r="H75" s="23">
        <v>5</v>
      </c>
      <c r="I75" s="23">
        <v>9</v>
      </c>
      <c r="J75" s="23">
        <v>0</v>
      </c>
      <c r="K75" s="23">
        <v>6</v>
      </c>
      <c r="L75" s="23">
        <v>3</v>
      </c>
      <c r="M75" s="12">
        <v>10</v>
      </c>
      <c r="N75" s="23">
        <v>8</v>
      </c>
      <c r="O75" s="14">
        <f>SUM(Tableau1[[#This Row],[Exercices d''obsevation]:[TIC]])</f>
        <v>75</v>
      </c>
      <c r="P75" s="26">
        <f>AVERAGE(Tableau1[[#This Row],[Exercices d''obsevation]:[TIC]])</f>
        <v>6.8181818181818183</v>
      </c>
      <c r="Q75" s="14">
        <f>RANK(Tableau1[[#This Row],[Moyenne]],Tableau1[Moyenne],0)</f>
        <v>73</v>
      </c>
      <c r="R75" s="24" t="str">
        <f>IF(Tableau1[[#This Row],[Moyenne]]&gt;=5,"Validé","Non validé")</f>
        <v>Validé</v>
      </c>
    </row>
    <row r="76" spans="1:18" ht="24.95" customHeight="1" thickBot="1" x14ac:dyDescent="0.3">
      <c r="A76" s="2">
        <v>60</v>
      </c>
      <c r="B76" s="1" t="s">
        <v>35</v>
      </c>
      <c r="C76" s="44" t="s">
        <v>143</v>
      </c>
      <c r="D76" s="11">
        <v>9</v>
      </c>
      <c r="E76" s="11">
        <v>6</v>
      </c>
      <c r="F76" s="11">
        <v>8</v>
      </c>
      <c r="G76" s="11">
        <v>4</v>
      </c>
      <c r="H76" s="11">
        <v>6</v>
      </c>
      <c r="I76" s="11">
        <v>9</v>
      </c>
      <c r="J76" s="11">
        <v>0</v>
      </c>
      <c r="K76" s="11">
        <v>7</v>
      </c>
      <c r="L76" s="11">
        <v>8</v>
      </c>
      <c r="M76" s="12">
        <v>10</v>
      </c>
      <c r="N76" s="11">
        <v>8</v>
      </c>
      <c r="O76" s="11">
        <f>SUM(Tableau1[[#This Row],[Exercices d''obsevation]:[TIC]])</f>
        <v>75</v>
      </c>
      <c r="P76" s="25">
        <f>AVERAGE(Tableau1[[#This Row],[Exercices d''obsevation]:[TIC]])</f>
        <v>6.8181818181818183</v>
      </c>
      <c r="Q76" s="11">
        <f>RANK(Tableau1[[#This Row],[Moyenne]],Tableau1[Moyenne],0)</f>
        <v>73</v>
      </c>
      <c r="R76" s="3" t="str">
        <f>IF(Tableau1[[#This Row],[Moyenne]]&gt;=5,"Validé","Non validé")</f>
        <v>Validé</v>
      </c>
    </row>
    <row r="77" spans="1:18" ht="24.95" customHeight="1" thickBot="1" x14ac:dyDescent="0.3">
      <c r="A77" s="2">
        <v>25</v>
      </c>
      <c r="B77" s="9" t="s">
        <v>85</v>
      </c>
      <c r="C77" s="12" t="s">
        <v>142</v>
      </c>
      <c r="D77" s="12">
        <v>9</v>
      </c>
      <c r="E77" s="12">
        <v>6</v>
      </c>
      <c r="F77" s="12">
        <v>9</v>
      </c>
      <c r="G77" s="12">
        <v>7</v>
      </c>
      <c r="H77" s="12">
        <v>6</v>
      </c>
      <c r="I77" s="12">
        <v>9</v>
      </c>
      <c r="J77" s="12">
        <v>0</v>
      </c>
      <c r="K77" s="12">
        <v>9</v>
      </c>
      <c r="L77" s="12">
        <v>2</v>
      </c>
      <c r="M77" s="12">
        <v>10</v>
      </c>
      <c r="N77" s="12">
        <v>7</v>
      </c>
      <c r="O77" s="14">
        <f>SUM(Tableau1[[#This Row],[Exercices d''obsevation]:[TIC]])</f>
        <v>74</v>
      </c>
      <c r="P77" s="26">
        <f>AVERAGE(Tableau1[[#This Row],[Exercices d''obsevation]:[TIC]])</f>
        <v>6.7272727272727275</v>
      </c>
      <c r="Q77" s="14">
        <f>RANK(Tableau1[[#This Row],[Moyenne]],Tableau1[Moyenne],0)</f>
        <v>76</v>
      </c>
      <c r="R77" s="10" t="str">
        <f>IF(Tableau1[[#This Row],[Moyenne]]&gt;=5,"Validé","Non validé")</f>
        <v>Validé</v>
      </c>
    </row>
    <row r="78" spans="1:18" ht="24.95" customHeight="1" thickBot="1" x14ac:dyDescent="0.3">
      <c r="A78" s="2">
        <v>46</v>
      </c>
      <c r="B78" s="9" t="s">
        <v>66</v>
      </c>
      <c r="C78" s="12" t="s">
        <v>142</v>
      </c>
      <c r="D78" s="12">
        <v>8</v>
      </c>
      <c r="E78" s="12">
        <v>6</v>
      </c>
      <c r="F78" s="12">
        <v>8</v>
      </c>
      <c r="G78" s="14">
        <v>9</v>
      </c>
      <c r="H78" s="12">
        <v>7</v>
      </c>
      <c r="I78" s="12">
        <v>8</v>
      </c>
      <c r="J78" s="12">
        <v>0</v>
      </c>
      <c r="K78" s="12">
        <v>9</v>
      </c>
      <c r="L78" s="12">
        <v>0</v>
      </c>
      <c r="M78" s="12">
        <v>10</v>
      </c>
      <c r="N78" s="14">
        <v>9</v>
      </c>
      <c r="O78" s="14">
        <f>SUM(Tableau1[[#This Row],[Exercices d''obsevation]:[TIC]])</f>
        <v>74</v>
      </c>
      <c r="P78" s="26">
        <f>AVERAGE(Tableau1[[#This Row],[Exercices d''obsevation]:[TIC]])</f>
        <v>6.7272727272727275</v>
      </c>
      <c r="Q78" s="14">
        <f>RANK(Tableau1[[#This Row],[Moyenne]],Tableau1[Moyenne],0)</f>
        <v>76</v>
      </c>
      <c r="R78" s="10" t="str">
        <f>IF(Tableau1[[#This Row],[Moyenne]]&gt;=5,"Validé","Non validé")</f>
        <v>Validé</v>
      </c>
    </row>
    <row r="79" spans="1:18" ht="24.95" customHeight="1" thickBot="1" x14ac:dyDescent="0.3">
      <c r="A79" s="2">
        <v>89</v>
      </c>
      <c r="B79" s="1" t="s">
        <v>76</v>
      </c>
      <c r="C79" s="44" t="s">
        <v>143</v>
      </c>
      <c r="D79" s="11">
        <v>10</v>
      </c>
      <c r="E79" s="11">
        <v>8</v>
      </c>
      <c r="F79" s="11">
        <v>8</v>
      </c>
      <c r="G79" s="11">
        <v>4</v>
      </c>
      <c r="H79" s="11">
        <v>6</v>
      </c>
      <c r="I79" s="11">
        <v>7</v>
      </c>
      <c r="J79" s="11">
        <v>0</v>
      </c>
      <c r="K79" s="11">
        <v>6</v>
      </c>
      <c r="L79" s="11">
        <v>7</v>
      </c>
      <c r="M79" s="12">
        <v>10</v>
      </c>
      <c r="N79" s="11">
        <v>8</v>
      </c>
      <c r="O79" s="11">
        <f>SUM(Tableau1[[#This Row],[Exercices d''obsevation]:[TIC]])</f>
        <v>74</v>
      </c>
      <c r="P79" s="25">
        <f>AVERAGE(Tableau1[[#This Row],[Exercices d''obsevation]:[TIC]])</f>
        <v>6.7272727272727275</v>
      </c>
      <c r="Q79" s="11">
        <f>RANK(Tableau1[[#This Row],[Moyenne]],Tableau1[Moyenne],0)</f>
        <v>76</v>
      </c>
      <c r="R79" s="3" t="str">
        <f>IF(Tableau1[[#This Row],[Moyenne]]&gt;=5,"Validé","Non validé")</f>
        <v>Validé</v>
      </c>
    </row>
    <row r="80" spans="1:18" ht="24.95" customHeight="1" thickBot="1" x14ac:dyDescent="0.3">
      <c r="A80" s="2">
        <v>27</v>
      </c>
      <c r="B80" s="1" t="s">
        <v>106</v>
      </c>
      <c r="C80" s="44" t="s">
        <v>143</v>
      </c>
      <c r="D80" s="11">
        <v>10</v>
      </c>
      <c r="E80" s="11">
        <v>8</v>
      </c>
      <c r="F80" s="11">
        <v>8</v>
      </c>
      <c r="G80" s="11">
        <v>4</v>
      </c>
      <c r="H80" s="11">
        <v>7</v>
      </c>
      <c r="I80" s="11">
        <v>9</v>
      </c>
      <c r="J80" s="11">
        <v>0</v>
      </c>
      <c r="K80" s="11">
        <v>6</v>
      </c>
      <c r="L80" s="11">
        <v>3</v>
      </c>
      <c r="M80" s="12">
        <v>10</v>
      </c>
      <c r="N80" s="11">
        <v>7</v>
      </c>
      <c r="O80" s="11">
        <f>SUM(Tableau1[[#This Row],[Exercices d''obsevation]:[TIC]])</f>
        <v>72</v>
      </c>
      <c r="P80" s="25">
        <f>AVERAGE(Tableau1[[#This Row],[Exercices d''obsevation]:[TIC]])</f>
        <v>6.5454545454545459</v>
      </c>
      <c r="Q80" s="11">
        <f>RANK(Tableau1[[#This Row],[Moyenne]],Tableau1[Moyenne],0)</f>
        <v>79</v>
      </c>
      <c r="R80" s="3" t="str">
        <f>IF(Tableau1[[#This Row],[Moyenne]]&gt;=5,"Validé","Non validé")</f>
        <v>Validé</v>
      </c>
    </row>
    <row r="81" spans="1:18" ht="24.95" customHeight="1" thickBot="1" x14ac:dyDescent="0.3">
      <c r="A81" s="2">
        <v>84</v>
      </c>
      <c r="B81" s="9" t="s">
        <v>61</v>
      </c>
      <c r="C81" s="12" t="s">
        <v>142</v>
      </c>
      <c r="D81" s="12">
        <v>10</v>
      </c>
      <c r="E81" s="12">
        <v>8</v>
      </c>
      <c r="F81" s="12">
        <v>8</v>
      </c>
      <c r="G81" s="12">
        <v>7</v>
      </c>
      <c r="H81" s="12">
        <v>7</v>
      </c>
      <c r="I81" s="12">
        <v>4</v>
      </c>
      <c r="J81" s="12">
        <v>2</v>
      </c>
      <c r="K81" s="12">
        <v>5</v>
      </c>
      <c r="L81" s="12">
        <v>3</v>
      </c>
      <c r="M81" s="12">
        <v>10</v>
      </c>
      <c r="N81" s="12">
        <v>7</v>
      </c>
      <c r="O81" s="14">
        <f>SUM(Tableau1[[#This Row],[Exercices d''obsevation]:[TIC]])</f>
        <v>71</v>
      </c>
      <c r="P81" s="26">
        <f>AVERAGE(Tableau1[[#This Row],[Exercices d''obsevation]:[TIC]])</f>
        <v>6.4545454545454541</v>
      </c>
      <c r="Q81" s="14">
        <f>RANK(Tableau1[[#This Row],[Moyenne]],Tableau1[Moyenne],0)</f>
        <v>80</v>
      </c>
      <c r="R81" s="10" t="str">
        <f>IF(Tableau1[[#This Row],[Moyenne]]&gt;=5,"Validé","Non validé")</f>
        <v>Validé</v>
      </c>
    </row>
    <row r="82" spans="1:18" ht="24.95" customHeight="1" thickBot="1" x14ac:dyDescent="0.3">
      <c r="A82" s="2">
        <v>16</v>
      </c>
      <c r="B82" s="1" t="s">
        <v>36</v>
      </c>
      <c r="C82" s="44" t="s">
        <v>143</v>
      </c>
      <c r="D82" s="11">
        <v>8</v>
      </c>
      <c r="E82" s="11">
        <v>8</v>
      </c>
      <c r="F82" s="11">
        <v>8</v>
      </c>
      <c r="G82" s="11">
        <v>4</v>
      </c>
      <c r="H82" s="11">
        <v>6</v>
      </c>
      <c r="I82" s="11">
        <v>8</v>
      </c>
      <c r="J82" s="11">
        <v>0</v>
      </c>
      <c r="K82" s="11">
        <v>7</v>
      </c>
      <c r="L82" s="11">
        <v>5</v>
      </c>
      <c r="M82" s="12">
        <v>10</v>
      </c>
      <c r="N82" s="11">
        <v>7</v>
      </c>
      <c r="O82" s="11">
        <f>SUM(Tableau1[[#This Row],[Exercices d''obsevation]:[TIC]])</f>
        <v>71</v>
      </c>
      <c r="P82" s="25">
        <f>AVERAGE(Tableau1[[#This Row],[Exercices d''obsevation]:[TIC]])</f>
        <v>6.4545454545454541</v>
      </c>
      <c r="Q82" s="11">
        <f>RANK(Tableau1[[#This Row],[Moyenne]],Tableau1[Moyenne],0)</f>
        <v>80</v>
      </c>
      <c r="R82" s="3" t="str">
        <f>IF(Tableau1[[#This Row],[Moyenne]]&gt;=5,"Validé","Non validé")</f>
        <v>Validé</v>
      </c>
    </row>
    <row r="83" spans="1:18" ht="24.95" customHeight="1" thickBot="1" x14ac:dyDescent="0.3">
      <c r="A83" s="2">
        <v>43</v>
      </c>
      <c r="B83" s="9" t="s">
        <v>84</v>
      </c>
      <c r="C83" s="12" t="s">
        <v>142</v>
      </c>
      <c r="D83" s="12">
        <v>8</v>
      </c>
      <c r="E83" s="12">
        <v>4</v>
      </c>
      <c r="F83" s="12">
        <v>8</v>
      </c>
      <c r="G83" s="11">
        <v>6</v>
      </c>
      <c r="H83" s="12">
        <v>4</v>
      </c>
      <c r="I83" s="12">
        <v>8</v>
      </c>
      <c r="J83" s="12">
        <v>0</v>
      </c>
      <c r="K83" s="12">
        <v>8</v>
      </c>
      <c r="L83" s="12">
        <v>5</v>
      </c>
      <c r="M83" s="12">
        <v>10</v>
      </c>
      <c r="N83" s="11">
        <v>8</v>
      </c>
      <c r="O83" s="11">
        <f>SUM(Tableau1[[#This Row],[Exercices d''obsevation]:[TIC]])</f>
        <v>69</v>
      </c>
      <c r="P83" s="25">
        <f>AVERAGE(Tableau1[[#This Row],[Exercices d''obsevation]:[TIC]])</f>
        <v>6.2727272727272725</v>
      </c>
      <c r="Q83" s="11">
        <f>RANK(Tableau1[[#This Row],[Moyenne]],Tableau1[Moyenne],0)</f>
        <v>82</v>
      </c>
      <c r="R83" s="10" t="str">
        <f>IF(Tableau1[[#This Row],[Moyenne]]&gt;=5,"Validé","Non validé")</f>
        <v>Validé</v>
      </c>
    </row>
    <row r="84" spans="1:18" ht="24.95" customHeight="1" thickBot="1" x14ac:dyDescent="0.3">
      <c r="A84" s="2">
        <v>23</v>
      </c>
      <c r="B84" s="1" t="s">
        <v>75</v>
      </c>
      <c r="C84" s="44" t="s">
        <v>143</v>
      </c>
      <c r="D84" s="11">
        <v>10</v>
      </c>
      <c r="E84" s="11">
        <v>6</v>
      </c>
      <c r="F84" s="11">
        <v>8</v>
      </c>
      <c r="G84" s="11">
        <v>5</v>
      </c>
      <c r="H84" s="11">
        <v>6</v>
      </c>
      <c r="I84" s="11">
        <v>8</v>
      </c>
      <c r="J84" s="11">
        <v>0</v>
      </c>
      <c r="K84" s="11">
        <v>8</v>
      </c>
      <c r="L84" s="11">
        <v>3</v>
      </c>
      <c r="M84" s="12">
        <v>10</v>
      </c>
      <c r="N84" s="11">
        <v>5</v>
      </c>
      <c r="O84" s="11">
        <f>SUM(Tableau1[[#This Row],[Exercices d''obsevation]:[TIC]])</f>
        <v>69</v>
      </c>
      <c r="P84" s="25">
        <f>AVERAGE(Tableau1[[#This Row],[Exercices d''obsevation]:[TIC]])</f>
        <v>6.2727272727272725</v>
      </c>
      <c r="Q84" s="11">
        <f>RANK(Tableau1[[#This Row],[Moyenne]],Tableau1[Moyenne],0)</f>
        <v>82</v>
      </c>
      <c r="R84" s="3" t="str">
        <f>IF(Tableau1[[#This Row],[Moyenne]]&gt;=5,"Validé","Non validé")</f>
        <v>Validé</v>
      </c>
    </row>
    <row r="85" spans="1:18" ht="29.25" customHeight="1" thickBot="1" x14ac:dyDescent="0.3">
      <c r="A85" s="2">
        <v>22</v>
      </c>
      <c r="B85" s="9" t="s">
        <v>87</v>
      </c>
      <c r="C85" s="12" t="s">
        <v>142</v>
      </c>
      <c r="D85" s="12">
        <v>8</v>
      </c>
      <c r="E85" s="12">
        <v>6</v>
      </c>
      <c r="F85" s="12">
        <v>8</v>
      </c>
      <c r="G85" s="12">
        <v>9</v>
      </c>
      <c r="H85" s="12">
        <v>6</v>
      </c>
      <c r="I85" s="12">
        <v>8</v>
      </c>
      <c r="J85" s="12">
        <v>0</v>
      </c>
      <c r="K85" s="12">
        <v>7</v>
      </c>
      <c r="L85" s="12">
        <v>0</v>
      </c>
      <c r="M85" s="12">
        <v>10</v>
      </c>
      <c r="N85" s="12">
        <v>6</v>
      </c>
      <c r="O85" s="14">
        <f>SUM(Tableau1[[#This Row],[Exercices d''obsevation]:[TIC]])</f>
        <v>68</v>
      </c>
      <c r="P85" s="26">
        <f>AVERAGE(Tableau1[[#This Row],[Exercices d''obsevation]:[TIC]])</f>
        <v>6.1818181818181817</v>
      </c>
      <c r="Q85" s="14">
        <f>RANK(Tableau1[[#This Row],[Moyenne]],Tableau1[Moyenne],0)</f>
        <v>84</v>
      </c>
      <c r="R85" s="10" t="str">
        <f>IF(Tableau1[[#This Row],[Moyenne]]&gt;=5,"Validé","Non validé")</f>
        <v>Validé</v>
      </c>
    </row>
    <row r="86" spans="1:18" ht="28.5" customHeight="1" thickBot="1" x14ac:dyDescent="0.3">
      <c r="A86" s="2">
        <v>7</v>
      </c>
      <c r="B86" s="9" t="s">
        <v>83</v>
      </c>
      <c r="C86" s="12" t="s">
        <v>142</v>
      </c>
      <c r="D86" s="12">
        <v>8</v>
      </c>
      <c r="E86" s="12">
        <v>6</v>
      </c>
      <c r="F86" s="12">
        <v>8</v>
      </c>
      <c r="G86" s="12">
        <v>6</v>
      </c>
      <c r="H86" s="12">
        <v>6</v>
      </c>
      <c r="I86" s="12">
        <v>9</v>
      </c>
      <c r="J86" s="12">
        <v>0</v>
      </c>
      <c r="K86" s="12">
        <v>7</v>
      </c>
      <c r="L86" s="12">
        <v>0</v>
      </c>
      <c r="M86" s="12">
        <v>10</v>
      </c>
      <c r="N86" s="12">
        <v>6</v>
      </c>
      <c r="O86" s="14">
        <f>SUM(Tableau1[[#This Row],[Exercices d''obsevation]:[TIC]])</f>
        <v>66</v>
      </c>
      <c r="P86" s="26">
        <f>AVERAGE(Tableau1[[#This Row],[Exercices d''obsevation]:[TIC]])</f>
        <v>6</v>
      </c>
      <c r="Q86" s="14">
        <f>RANK(Tableau1[[#This Row],[Moyenne]],Tableau1[Moyenne],0)</f>
        <v>85</v>
      </c>
      <c r="R86" s="10" t="str">
        <f>IF(Tableau1[[#This Row],[Moyenne]]&gt;=5,"Validé","Non validé")</f>
        <v>Validé</v>
      </c>
    </row>
    <row r="87" spans="1:18" ht="24.95" customHeight="1" thickBot="1" x14ac:dyDescent="0.3">
      <c r="A87" s="2">
        <v>80</v>
      </c>
      <c r="B87" s="9" t="s">
        <v>52</v>
      </c>
      <c r="C87" s="12" t="s">
        <v>142</v>
      </c>
      <c r="D87" s="12">
        <v>9</v>
      </c>
      <c r="E87" s="12">
        <v>8</v>
      </c>
      <c r="F87" s="12">
        <v>8</v>
      </c>
      <c r="G87" s="12">
        <v>4</v>
      </c>
      <c r="H87" s="12">
        <v>6</v>
      </c>
      <c r="I87" s="12">
        <v>8</v>
      </c>
      <c r="J87" s="12">
        <v>0</v>
      </c>
      <c r="K87" s="12">
        <v>6</v>
      </c>
      <c r="L87" s="12">
        <v>0</v>
      </c>
      <c r="M87" s="12">
        <v>10</v>
      </c>
      <c r="N87" s="12">
        <v>6</v>
      </c>
      <c r="O87" s="14">
        <f>SUM(Tableau1[[#This Row],[Exercices d''obsevation]:[TIC]])</f>
        <v>65</v>
      </c>
      <c r="P87" s="26">
        <f>AVERAGE(Tableau1[[#This Row],[Exercices d''obsevation]:[TIC]])</f>
        <v>5.9090909090909092</v>
      </c>
      <c r="Q87" s="14">
        <f>RANK(Tableau1[[#This Row],[Moyenne]],Tableau1[Moyenne],0)</f>
        <v>86</v>
      </c>
      <c r="R87" s="10" t="str">
        <f>IF(Tableau1[[#This Row],[Moyenne]]&gt;=5,"Validé","Non validé")</f>
        <v>Validé</v>
      </c>
    </row>
    <row r="88" spans="1:18" ht="24.95" customHeight="1" thickBot="1" x14ac:dyDescent="0.3">
      <c r="A88" s="2">
        <v>20</v>
      </c>
      <c r="B88" s="1" t="s">
        <v>32</v>
      </c>
      <c r="C88" s="44" t="s">
        <v>143</v>
      </c>
      <c r="D88" s="11">
        <v>9</v>
      </c>
      <c r="E88" s="11">
        <v>6</v>
      </c>
      <c r="F88" s="11">
        <v>7</v>
      </c>
      <c r="G88" s="11">
        <v>5</v>
      </c>
      <c r="H88" s="11">
        <v>6</v>
      </c>
      <c r="I88" s="11">
        <v>6</v>
      </c>
      <c r="J88" s="11">
        <v>0</v>
      </c>
      <c r="K88" s="11">
        <v>8</v>
      </c>
      <c r="L88" s="11">
        <v>3</v>
      </c>
      <c r="M88" s="12">
        <v>10</v>
      </c>
      <c r="N88" s="11">
        <v>5</v>
      </c>
      <c r="O88" s="11">
        <f>SUM(Tableau1[[#This Row],[Exercices d''obsevation]:[TIC]])</f>
        <v>65</v>
      </c>
      <c r="P88" s="25">
        <f>AVERAGE(Tableau1[[#This Row],[Exercices d''obsevation]:[TIC]])</f>
        <v>5.9090909090909092</v>
      </c>
      <c r="Q88" s="11">
        <f>RANK(Tableau1[[#This Row],[Moyenne]],Tableau1[Moyenne],0)</f>
        <v>86</v>
      </c>
      <c r="R88" s="3" t="str">
        <f>IF(Tableau1[[#This Row],[Moyenne]]&gt;=5,"Validé","Non validé")</f>
        <v>Validé</v>
      </c>
    </row>
    <row r="89" spans="1:18" ht="24.95" customHeight="1" thickBot="1" x14ac:dyDescent="0.3">
      <c r="A89" s="2">
        <v>24</v>
      </c>
      <c r="B89" s="1" t="s">
        <v>40</v>
      </c>
      <c r="C89" s="44" t="s">
        <v>143</v>
      </c>
      <c r="D89" s="11">
        <v>5</v>
      </c>
      <c r="E89" s="11">
        <v>7</v>
      </c>
      <c r="F89" s="11">
        <v>8</v>
      </c>
      <c r="G89" s="11">
        <v>4</v>
      </c>
      <c r="H89" s="11">
        <v>6</v>
      </c>
      <c r="I89" s="11">
        <v>10</v>
      </c>
      <c r="J89" s="11">
        <v>0</v>
      </c>
      <c r="K89" s="11">
        <v>6</v>
      </c>
      <c r="L89" s="11">
        <v>4</v>
      </c>
      <c r="M89" s="12">
        <v>10</v>
      </c>
      <c r="N89" s="11">
        <v>4</v>
      </c>
      <c r="O89" s="11">
        <f>SUM(Tableau1[[#This Row],[Exercices d''obsevation]:[TIC]])</f>
        <v>64</v>
      </c>
      <c r="P89" s="25">
        <f>AVERAGE(Tableau1[[#This Row],[Exercices d''obsevation]:[TIC]])</f>
        <v>5.8181818181818183</v>
      </c>
      <c r="Q89" s="11">
        <f>RANK(Tableau1[[#This Row],[Moyenne]],Tableau1[Moyenne],0)</f>
        <v>88</v>
      </c>
      <c r="R89" s="3" t="str">
        <f>IF(Tableau1[[#This Row],[Moyenne]]&gt;=5,"Validé","Non validé")</f>
        <v>Validé</v>
      </c>
    </row>
    <row r="90" spans="1:18" ht="24.95" customHeight="1" thickBot="1" x14ac:dyDescent="0.3">
      <c r="A90" s="2">
        <v>42</v>
      </c>
      <c r="B90" s="1" t="s">
        <v>49</v>
      </c>
      <c r="C90" s="44" t="s">
        <v>143</v>
      </c>
      <c r="D90" s="11">
        <v>9</v>
      </c>
      <c r="E90" s="11">
        <v>6</v>
      </c>
      <c r="F90" s="11">
        <v>8</v>
      </c>
      <c r="G90" s="11">
        <v>4</v>
      </c>
      <c r="H90" s="11">
        <v>6</v>
      </c>
      <c r="I90" s="11">
        <v>6</v>
      </c>
      <c r="J90" s="11">
        <v>0</v>
      </c>
      <c r="K90" s="11">
        <v>6</v>
      </c>
      <c r="L90" s="11">
        <v>2</v>
      </c>
      <c r="M90" s="12">
        <v>10</v>
      </c>
      <c r="N90" s="11">
        <v>4</v>
      </c>
      <c r="O90" s="11">
        <f>SUM(Tableau1[[#This Row],[Exercices d''obsevation]:[TIC]])</f>
        <v>61</v>
      </c>
      <c r="P90" s="25">
        <f>AVERAGE(Tableau1[[#This Row],[Exercices d''obsevation]:[TIC]])</f>
        <v>5.5454545454545459</v>
      </c>
      <c r="Q90" s="11">
        <f>RANK(Tableau1[[#This Row],[Moyenne]],Tableau1[Moyenne],0)</f>
        <v>89</v>
      </c>
      <c r="R90" s="3" t="str">
        <f>IF(Tableau1[[#This Row],[Moyenne]]&gt;=5,"Validé","Non validé")</f>
        <v>Validé</v>
      </c>
    </row>
    <row r="91" spans="1:18" ht="24.95" customHeight="1" thickBot="1" x14ac:dyDescent="0.3">
      <c r="A91" s="2">
        <v>91</v>
      </c>
      <c r="B91" s="1" t="s">
        <v>59</v>
      </c>
      <c r="C91" s="44" t="s">
        <v>143</v>
      </c>
      <c r="D91" s="11">
        <v>8</v>
      </c>
      <c r="E91" s="11">
        <v>6</v>
      </c>
      <c r="F91" s="11">
        <v>8</v>
      </c>
      <c r="G91" s="11">
        <v>3</v>
      </c>
      <c r="H91" s="11">
        <v>6</v>
      </c>
      <c r="I91" s="11">
        <v>8</v>
      </c>
      <c r="J91" s="11">
        <v>0</v>
      </c>
      <c r="K91" s="11">
        <v>8</v>
      </c>
      <c r="L91" s="11">
        <v>0</v>
      </c>
      <c r="M91" s="12">
        <v>10</v>
      </c>
      <c r="N91" s="11">
        <v>4</v>
      </c>
      <c r="O91" s="11">
        <f>SUM(Tableau1[[#This Row],[Exercices d''obsevation]:[TIC]])</f>
        <v>61</v>
      </c>
      <c r="P91" s="25">
        <f>AVERAGE(Tableau1[[#This Row],[Exercices d''obsevation]:[TIC]])</f>
        <v>5.5454545454545459</v>
      </c>
      <c r="Q91" s="11">
        <f>RANK(Tableau1[[#This Row],[Moyenne]],Tableau1[Moyenne],0)</f>
        <v>89</v>
      </c>
      <c r="R91" s="3" t="str">
        <f>IF(Tableau1[[#This Row],[Moyenne]]&gt;=5,"Validé","Non validé")</f>
        <v>Validé</v>
      </c>
    </row>
    <row r="92" spans="1:18" ht="24.95" customHeight="1" thickBot="1" x14ac:dyDescent="0.3">
      <c r="A92" s="2">
        <v>26</v>
      </c>
      <c r="B92" s="9" t="s">
        <v>86</v>
      </c>
      <c r="C92" s="12" t="s">
        <v>142</v>
      </c>
      <c r="D92" s="12">
        <v>10</v>
      </c>
      <c r="E92" s="12">
        <v>7</v>
      </c>
      <c r="F92" s="12">
        <v>8</v>
      </c>
      <c r="G92" s="12">
        <v>7</v>
      </c>
      <c r="H92" s="12">
        <v>4</v>
      </c>
      <c r="I92" s="12">
        <v>3</v>
      </c>
      <c r="J92" s="12">
        <v>0</v>
      </c>
      <c r="K92" s="12">
        <v>5</v>
      </c>
      <c r="L92" s="12">
        <v>2</v>
      </c>
      <c r="M92" s="12">
        <v>10</v>
      </c>
      <c r="N92" s="12">
        <v>4</v>
      </c>
      <c r="O92" s="14">
        <f>SUM(Tableau1[[#This Row],[Exercices d''obsevation]:[TIC]])</f>
        <v>60</v>
      </c>
      <c r="P92" s="26">
        <f>AVERAGE(Tableau1[[#This Row],[Exercices d''obsevation]:[TIC]])</f>
        <v>5.4545454545454541</v>
      </c>
      <c r="Q92" s="14">
        <f>RANK(Tableau1[[#This Row],[Moyenne]],Tableau1[Moyenne],0)</f>
        <v>91</v>
      </c>
      <c r="R92" s="10" t="str">
        <f>IF(Tableau1[[#This Row],[Moyenne]]&gt;=5,"Validé","Non validé")</f>
        <v>Validé</v>
      </c>
    </row>
    <row r="93" spans="1:18" ht="24.95" customHeight="1" thickBot="1" x14ac:dyDescent="0.3">
      <c r="A93" s="2">
        <v>21</v>
      </c>
      <c r="B93" s="7" t="s">
        <v>105</v>
      </c>
      <c r="C93" s="44" t="s">
        <v>143</v>
      </c>
      <c r="D93" s="13">
        <v>3</v>
      </c>
      <c r="E93" s="13">
        <v>6</v>
      </c>
      <c r="F93" s="13">
        <v>6</v>
      </c>
      <c r="G93" s="13">
        <v>4</v>
      </c>
      <c r="H93" s="13">
        <v>5</v>
      </c>
      <c r="I93" s="13">
        <v>8</v>
      </c>
      <c r="J93" s="13">
        <v>0</v>
      </c>
      <c r="K93" s="13">
        <v>8</v>
      </c>
      <c r="L93" s="13">
        <v>4</v>
      </c>
      <c r="M93" s="12">
        <v>10</v>
      </c>
      <c r="N93" s="13">
        <v>4</v>
      </c>
      <c r="O93" s="11">
        <f>SUM(Tableau1[[#This Row],[Exercices d''obsevation]:[TIC]])</f>
        <v>58</v>
      </c>
      <c r="P93" s="25">
        <f>AVERAGE(Tableau1[[#This Row],[Exercices d''obsevation]:[TIC]])</f>
        <v>5.2727272727272725</v>
      </c>
      <c r="Q93" s="11">
        <f>RANK(Tableau1[[#This Row],[Moyenne]],Tableau1[Moyenne],0)</f>
        <v>92</v>
      </c>
      <c r="R93" s="8" t="str">
        <f>IF(Tableau1[[#This Row],[Moyenne]]&gt;=5,"Validé","Non validé")</f>
        <v>Validé</v>
      </c>
    </row>
    <row r="94" spans="1:18" ht="24.95" customHeight="1" thickBot="1" x14ac:dyDescent="0.3">
      <c r="A94" s="2">
        <v>17</v>
      </c>
      <c r="B94" s="17" t="s">
        <v>88</v>
      </c>
      <c r="C94" s="12" t="s">
        <v>142</v>
      </c>
      <c r="D94" s="18">
        <v>8</v>
      </c>
      <c r="E94" s="18">
        <v>4</v>
      </c>
      <c r="F94" s="18">
        <v>8</v>
      </c>
      <c r="G94" s="18">
        <v>5</v>
      </c>
      <c r="H94" s="18">
        <v>5</v>
      </c>
      <c r="I94" s="18">
        <v>6</v>
      </c>
      <c r="J94" s="18">
        <v>0</v>
      </c>
      <c r="K94" s="18">
        <v>5</v>
      </c>
      <c r="L94" s="18">
        <v>0</v>
      </c>
      <c r="M94" s="12">
        <v>10</v>
      </c>
      <c r="N94" s="18">
        <v>5</v>
      </c>
      <c r="O94" s="14">
        <f>SUM(Tableau1[[#This Row],[Exercices d''obsevation]:[TIC]])</f>
        <v>56</v>
      </c>
      <c r="P94" s="26">
        <f>AVERAGE(Tableau1[[#This Row],[Exercices d''obsevation]:[TIC]])</f>
        <v>5.0909090909090908</v>
      </c>
      <c r="Q94" s="14">
        <f>RANK(Tableau1[[#This Row],[Moyenne]],Tableau1[Moyenne],0)</f>
        <v>93</v>
      </c>
      <c r="R94" s="19" t="str">
        <f>IF(Tableau1[[#This Row],[Moyenne]]&gt;=5,"Validé","Non validé")</f>
        <v>Validé</v>
      </c>
    </row>
    <row r="95" spans="1:18" s="21" customFormat="1" ht="29.25" customHeight="1" thickBot="1" x14ac:dyDescent="0.3">
      <c r="A95" s="2">
        <v>28</v>
      </c>
      <c r="B95" s="7" t="s">
        <v>37</v>
      </c>
      <c r="C95" s="44" t="s">
        <v>143</v>
      </c>
      <c r="D95" s="13">
        <v>10</v>
      </c>
      <c r="E95" s="13">
        <v>6</v>
      </c>
      <c r="F95" s="13">
        <v>9</v>
      </c>
      <c r="G95" s="13">
        <v>3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2">
        <v>10</v>
      </c>
      <c r="N95" s="13">
        <v>3</v>
      </c>
      <c r="O95" s="11">
        <f>SUM(Tableau1[[#This Row],[Exercices d''obsevation]:[TIC]])</f>
        <v>41</v>
      </c>
      <c r="P95" s="25">
        <f>AVERAGE(Tableau1[[#This Row],[Exercices d''obsevation]:[TIC]])</f>
        <v>3.7272727272727271</v>
      </c>
      <c r="Q95" s="11">
        <f>RANK(Tableau1[[#This Row],[Moyenne]],Tableau1[Moyenne],0)</f>
        <v>94</v>
      </c>
      <c r="R95" s="8" t="str">
        <f>IF(Tableau1[[#This Row],[Moyenne]]&gt;=5,"Validé","Non validé")</f>
        <v>Non validé</v>
      </c>
    </row>
    <row r="101" spans="2:3" x14ac:dyDescent="0.25">
      <c r="B101" s="20"/>
      <c r="C101" s="20"/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3CBF-8A82-CC47-8031-1D214A784D7F}">
  <dimension ref="A1:R116"/>
  <sheetViews>
    <sheetView topLeftCell="C109" zoomScaleNormal="100" zoomScaleSheetLayoutView="100" workbookViewId="0">
      <selection activeCell="B9" sqref="B6:B9"/>
    </sheetView>
  </sheetViews>
  <sheetFormatPr baseColWidth="10" defaultColWidth="9.140625" defaultRowHeight="15" x14ac:dyDescent="0.25"/>
  <cols>
    <col min="2" max="2" width="28.42578125" customWidth="1"/>
    <col min="3" max="3" width="7.28515625" customWidth="1"/>
    <col min="4" max="4" width="13.85546875" customWidth="1"/>
    <col min="5" max="5" width="15.7109375" customWidth="1"/>
    <col min="6" max="6" width="13.140625" customWidth="1"/>
    <col min="10" max="10" width="9.140625" bestFit="1" customWidth="1"/>
    <col min="14" max="14" width="7.140625" customWidth="1"/>
    <col min="15" max="15" width="7.85546875" customWidth="1"/>
    <col min="17" max="17" width="9.5703125" customWidth="1"/>
    <col min="18" max="18" width="14.85546875" customWidth="1"/>
  </cols>
  <sheetData>
    <row r="1" spans="1:18" ht="28.5" customHeight="1" thickBot="1" x14ac:dyDescent="0.3">
      <c r="A1" s="4" t="s">
        <v>0</v>
      </c>
      <c r="B1" s="5" t="s">
        <v>1</v>
      </c>
      <c r="C1" s="6" t="s">
        <v>141</v>
      </c>
      <c r="D1" s="6" t="s">
        <v>90</v>
      </c>
      <c r="E1" s="6" t="s">
        <v>103</v>
      </c>
      <c r="F1" s="6" t="s">
        <v>104</v>
      </c>
      <c r="G1" s="6" t="s">
        <v>91</v>
      </c>
      <c r="H1" s="6" t="s">
        <v>99</v>
      </c>
      <c r="I1" s="6" t="s">
        <v>92</v>
      </c>
      <c r="J1" s="6" t="s">
        <v>100</v>
      </c>
      <c r="K1" s="6" t="s">
        <v>93</v>
      </c>
      <c r="L1" s="6" t="s">
        <v>101</v>
      </c>
      <c r="M1" s="6" t="s">
        <v>136</v>
      </c>
      <c r="N1" s="6" t="s">
        <v>102</v>
      </c>
      <c r="O1" s="6" t="s">
        <v>94</v>
      </c>
      <c r="P1" s="6" t="s">
        <v>95</v>
      </c>
      <c r="Q1" s="6" t="s">
        <v>96</v>
      </c>
      <c r="R1" s="6" t="s">
        <v>97</v>
      </c>
    </row>
    <row r="2" spans="1:18" ht="24.95" customHeight="1" thickBot="1" x14ac:dyDescent="0.3">
      <c r="A2" s="2">
        <v>76</v>
      </c>
      <c r="B2" s="1" t="s">
        <v>51</v>
      </c>
      <c r="C2" s="44" t="s">
        <v>143</v>
      </c>
      <c r="D2" s="11">
        <v>10</v>
      </c>
      <c r="E2" s="11">
        <v>10</v>
      </c>
      <c r="F2" s="11">
        <v>10</v>
      </c>
      <c r="G2" s="11">
        <v>10</v>
      </c>
      <c r="H2" s="11">
        <v>8</v>
      </c>
      <c r="I2" s="11">
        <v>10</v>
      </c>
      <c r="J2" s="11">
        <v>7</v>
      </c>
      <c r="K2" s="11">
        <v>9</v>
      </c>
      <c r="L2" s="11">
        <v>10</v>
      </c>
      <c r="M2" s="11">
        <v>10</v>
      </c>
      <c r="N2" s="11">
        <v>10</v>
      </c>
      <c r="O2" s="11">
        <f>SUM(Tableau13[[#This Row],[Exercices d''obsevation]:[TIC]])</f>
        <v>104</v>
      </c>
      <c r="P2" s="25">
        <f>AVERAGE(Tableau13[[#This Row],[Exercices d''obsevation]:[TIC]])</f>
        <v>9.454545454545455</v>
      </c>
      <c r="Q2" s="11">
        <f>RANK(Tableau13[[#This Row],[Moyenne]],Tableau13[Moyenne],0)</f>
        <v>1</v>
      </c>
      <c r="R2" s="43" t="str">
        <f>IF(Tableau13[[#This Row],[Moyenne]]&gt;=5,"Validé","Non Validé")</f>
        <v>Validé</v>
      </c>
    </row>
    <row r="3" spans="1:18" ht="24.95" customHeight="1" thickBot="1" x14ac:dyDescent="0.3">
      <c r="A3" s="2">
        <v>68</v>
      </c>
      <c r="B3" s="9" t="s">
        <v>19</v>
      </c>
      <c r="C3" s="12" t="s">
        <v>142</v>
      </c>
      <c r="D3" s="12">
        <v>10</v>
      </c>
      <c r="E3" s="12">
        <v>10</v>
      </c>
      <c r="F3" s="12">
        <v>9</v>
      </c>
      <c r="G3" s="12">
        <v>10</v>
      </c>
      <c r="H3" s="12">
        <v>9</v>
      </c>
      <c r="I3" s="12">
        <v>9</v>
      </c>
      <c r="J3" s="12">
        <v>8</v>
      </c>
      <c r="K3" s="12">
        <v>8</v>
      </c>
      <c r="L3" s="12">
        <v>9</v>
      </c>
      <c r="M3" s="12">
        <v>10</v>
      </c>
      <c r="N3" s="12">
        <v>10</v>
      </c>
      <c r="O3" s="14">
        <f>SUM(Tableau13[[#This Row],[Exercices d''obsevation]:[TIC]])</f>
        <v>102</v>
      </c>
      <c r="P3" s="26">
        <f>AVERAGE(Tableau13[[#This Row],[Exercices d''obsevation]:[TIC]])</f>
        <v>9.2727272727272734</v>
      </c>
      <c r="Q3" s="14">
        <f>RANK(Tableau13[[#This Row],[Moyenne]],Tableau13[Moyenne],0)</f>
        <v>2</v>
      </c>
      <c r="R3" s="28" t="str">
        <f>IF(Tableau13[[#This Row],[Moyenne]]&gt;=5,"Validé","Non Validé")</f>
        <v>Validé</v>
      </c>
    </row>
    <row r="4" spans="1:18" ht="24.95" customHeight="1" thickBot="1" x14ac:dyDescent="0.3">
      <c r="A4" s="2">
        <v>74</v>
      </c>
      <c r="B4" s="9" t="s">
        <v>45</v>
      </c>
      <c r="C4" s="12" t="s">
        <v>142</v>
      </c>
      <c r="D4" s="12">
        <v>10</v>
      </c>
      <c r="E4" s="12">
        <v>10</v>
      </c>
      <c r="F4" s="12">
        <v>10</v>
      </c>
      <c r="G4" s="12">
        <v>10</v>
      </c>
      <c r="H4" s="12">
        <v>9</v>
      </c>
      <c r="I4" s="12">
        <v>10</v>
      </c>
      <c r="J4" s="12">
        <v>6</v>
      </c>
      <c r="K4" s="12">
        <v>7</v>
      </c>
      <c r="L4" s="12">
        <v>10</v>
      </c>
      <c r="M4" s="12">
        <v>10</v>
      </c>
      <c r="N4" s="12">
        <v>10</v>
      </c>
      <c r="O4" s="14">
        <f>SUM(Tableau13[[#This Row],[Exercices d''obsevation]:[TIC]])</f>
        <v>102</v>
      </c>
      <c r="P4" s="26">
        <f>AVERAGE(Tableau13[[#This Row],[Exercices d''obsevation]:[TIC]])</f>
        <v>9.2727272727272734</v>
      </c>
      <c r="Q4" s="14">
        <f>RANK(Tableau13[[#This Row],[Moyenne]],Tableau13[Moyenne],0)</f>
        <v>2</v>
      </c>
      <c r="R4" s="28" t="str">
        <f>IF(Tableau13[[#This Row],[Moyenne]]&gt;=5,"Validé","Non Validé")</f>
        <v>Validé</v>
      </c>
    </row>
    <row r="5" spans="1:18" ht="24.95" customHeight="1" thickBot="1" x14ac:dyDescent="0.3">
      <c r="A5" s="2">
        <v>75</v>
      </c>
      <c r="B5" s="9" t="s">
        <v>82</v>
      </c>
      <c r="C5" s="12" t="s">
        <v>142</v>
      </c>
      <c r="D5" s="12">
        <v>10</v>
      </c>
      <c r="E5" s="12">
        <v>10</v>
      </c>
      <c r="F5" s="12">
        <v>10</v>
      </c>
      <c r="G5" s="12">
        <v>10</v>
      </c>
      <c r="H5" s="12">
        <v>9</v>
      </c>
      <c r="I5" s="12">
        <v>10</v>
      </c>
      <c r="J5" s="12">
        <v>5</v>
      </c>
      <c r="K5" s="12">
        <v>8</v>
      </c>
      <c r="L5" s="12">
        <v>10</v>
      </c>
      <c r="M5" s="12">
        <v>10</v>
      </c>
      <c r="N5" s="12">
        <v>10</v>
      </c>
      <c r="O5" s="14">
        <f>SUM(Tableau13[[#This Row],[Exercices d''obsevation]:[TIC]])</f>
        <v>102</v>
      </c>
      <c r="P5" s="26">
        <f>AVERAGE(Tableau13[[#This Row],[Exercices d''obsevation]:[TIC]])</f>
        <v>9.2727272727272734</v>
      </c>
      <c r="Q5" s="14">
        <f>RANK(Tableau13[[#This Row],[Moyenne]],Tableau13[Moyenne],0)</f>
        <v>2</v>
      </c>
      <c r="R5" s="28" t="str">
        <f>IF(Tableau13[[#This Row],[Moyenne]]&gt;=5,"Validé","Non Validé")</f>
        <v>Validé</v>
      </c>
    </row>
    <row r="6" spans="1:18" ht="24.95" customHeight="1" thickBot="1" x14ac:dyDescent="0.3">
      <c r="A6" s="2">
        <v>41</v>
      </c>
      <c r="B6" s="9" t="s">
        <v>3</v>
      </c>
      <c r="C6" s="12" t="s">
        <v>142</v>
      </c>
      <c r="D6" s="12">
        <v>10</v>
      </c>
      <c r="E6" s="12">
        <v>10</v>
      </c>
      <c r="F6" s="12">
        <v>10</v>
      </c>
      <c r="G6" s="12">
        <v>10</v>
      </c>
      <c r="H6" s="12">
        <v>8</v>
      </c>
      <c r="I6" s="12">
        <v>9</v>
      </c>
      <c r="J6" s="12">
        <v>4</v>
      </c>
      <c r="K6" s="12">
        <v>8</v>
      </c>
      <c r="L6" s="12">
        <v>8</v>
      </c>
      <c r="M6" s="12">
        <v>10</v>
      </c>
      <c r="N6" s="12">
        <v>10</v>
      </c>
      <c r="O6" s="14">
        <f>SUM(Tableau13[[#This Row],[Exercices d''obsevation]:[TIC]])</f>
        <v>97</v>
      </c>
      <c r="P6" s="26">
        <f>AVERAGE(Tableau13[[#This Row],[Exercices d''obsevation]:[TIC]])</f>
        <v>8.8181818181818183</v>
      </c>
      <c r="Q6" s="14">
        <f>RANK(Tableau13[[#This Row],[Moyenne]],Tableau13[Moyenne],0)</f>
        <v>5</v>
      </c>
      <c r="R6" s="28" t="str">
        <f>IF(Tableau13[[#This Row],[Moyenne]]&gt;=5,"Validé","Non Validé")</f>
        <v>Validé</v>
      </c>
    </row>
    <row r="7" spans="1:18" ht="24.95" customHeight="1" thickBot="1" x14ac:dyDescent="0.3">
      <c r="A7" s="2">
        <v>81</v>
      </c>
      <c r="B7" s="1" t="s">
        <v>68</v>
      </c>
      <c r="C7" s="44" t="s">
        <v>143</v>
      </c>
      <c r="D7" s="11">
        <v>10</v>
      </c>
      <c r="E7" s="11">
        <v>9</v>
      </c>
      <c r="F7" s="11">
        <v>9</v>
      </c>
      <c r="G7" s="11">
        <v>10</v>
      </c>
      <c r="H7" s="11">
        <v>8</v>
      </c>
      <c r="I7" s="11">
        <v>9</v>
      </c>
      <c r="J7" s="11">
        <v>6</v>
      </c>
      <c r="K7" s="11">
        <v>9</v>
      </c>
      <c r="L7" s="11">
        <v>8</v>
      </c>
      <c r="M7" s="11">
        <v>10</v>
      </c>
      <c r="N7" s="11">
        <v>9</v>
      </c>
      <c r="O7" s="11">
        <f>SUM(Tableau13[[#This Row],[Exercices d''obsevation]:[TIC]])</f>
        <v>97</v>
      </c>
      <c r="P7" s="25">
        <f>AVERAGE(Tableau13[[#This Row],[Exercices d''obsevation]:[TIC]])</f>
        <v>8.8181818181818183</v>
      </c>
      <c r="Q7" s="11">
        <f>RANK(Tableau13[[#This Row],[Moyenne]],Tableau13[Moyenne],0)</f>
        <v>5</v>
      </c>
      <c r="R7" s="43" t="str">
        <f>IF(Tableau13[[#This Row],[Moyenne]]&gt;=5,"Validé","Non Validé")</f>
        <v>Validé</v>
      </c>
    </row>
    <row r="8" spans="1:18" ht="24.95" customHeight="1" thickBot="1" x14ac:dyDescent="0.3">
      <c r="A8" s="2">
        <v>45</v>
      </c>
      <c r="B8" s="9" t="s">
        <v>81</v>
      </c>
      <c r="C8" s="12" t="s">
        <v>142</v>
      </c>
      <c r="D8" s="12">
        <v>10</v>
      </c>
      <c r="E8" s="12">
        <v>10</v>
      </c>
      <c r="F8" s="12">
        <v>9</v>
      </c>
      <c r="G8" s="12">
        <v>10</v>
      </c>
      <c r="H8" s="12">
        <v>9</v>
      </c>
      <c r="I8" s="12">
        <v>9</v>
      </c>
      <c r="J8" s="12">
        <v>3</v>
      </c>
      <c r="K8" s="12">
        <v>8</v>
      </c>
      <c r="L8" s="12">
        <v>8</v>
      </c>
      <c r="M8" s="12">
        <v>10</v>
      </c>
      <c r="N8" s="12">
        <v>10</v>
      </c>
      <c r="O8" s="14">
        <f>SUM(Tableau13[[#This Row],[Exercices d''obsevation]:[TIC]])</f>
        <v>96</v>
      </c>
      <c r="P8" s="26">
        <f>AVERAGE(Tableau13[[#This Row],[Exercices d''obsevation]:[TIC]])</f>
        <v>8.7272727272727266</v>
      </c>
      <c r="Q8" s="14">
        <f>RANK(Tableau13[[#This Row],[Moyenne]],Tableau13[Moyenne],0)</f>
        <v>7</v>
      </c>
      <c r="R8" s="28" t="str">
        <f>IF(Tableau13[[#This Row],[Moyenne]]&gt;=5,"Validé","Non Validé")</f>
        <v>Validé</v>
      </c>
    </row>
    <row r="9" spans="1:18" ht="36.75" customHeight="1" thickBot="1" x14ac:dyDescent="0.3">
      <c r="A9" s="2">
        <v>103</v>
      </c>
      <c r="B9" s="9" t="s">
        <v>98</v>
      </c>
      <c r="C9" s="12" t="s">
        <v>142</v>
      </c>
      <c r="D9" s="12">
        <v>10</v>
      </c>
      <c r="E9" s="12">
        <v>9</v>
      </c>
      <c r="F9" s="12">
        <v>9</v>
      </c>
      <c r="G9" s="12">
        <v>10</v>
      </c>
      <c r="H9" s="12">
        <v>8</v>
      </c>
      <c r="I9" s="12">
        <v>9</v>
      </c>
      <c r="J9" s="12">
        <v>7</v>
      </c>
      <c r="K9" s="12">
        <v>8</v>
      </c>
      <c r="L9" s="12">
        <v>6</v>
      </c>
      <c r="M9" s="12">
        <v>10</v>
      </c>
      <c r="N9" s="12">
        <v>10</v>
      </c>
      <c r="O9" s="14">
        <f>SUM(Tableau13[[#This Row],[Exercices d''obsevation]:[TIC]])</f>
        <v>96</v>
      </c>
      <c r="P9" s="26">
        <f>AVERAGE(Tableau13[[#This Row],[Exercices d''obsevation]:[TIC]])</f>
        <v>8.7272727272727266</v>
      </c>
      <c r="Q9" s="14">
        <f>RANK(Tableau13[[#This Row],[Moyenne]],Tableau13[Moyenne],0)</f>
        <v>7</v>
      </c>
      <c r="R9" s="28" t="str">
        <f>IF(Tableau13[[#This Row],[Moyenne]]&gt;=5,"Validé","Non Validé")</f>
        <v>Validé</v>
      </c>
    </row>
    <row r="10" spans="1:18" ht="24.95" customHeight="1" thickBot="1" x14ac:dyDescent="0.3">
      <c r="A10" s="2">
        <v>50</v>
      </c>
      <c r="B10" s="27" t="s">
        <v>111</v>
      </c>
      <c r="C10" s="12" t="s">
        <v>142</v>
      </c>
      <c r="D10" s="14">
        <v>10</v>
      </c>
      <c r="E10" s="14">
        <v>10</v>
      </c>
      <c r="F10" s="14">
        <v>9</v>
      </c>
      <c r="G10" s="14">
        <v>10</v>
      </c>
      <c r="H10" s="14">
        <v>9</v>
      </c>
      <c r="I10" s="14">
        <v>7</v>
      </c>
      <c r="J10" s="14">
        <v>8</v>
      </c>
      <c r="K10" s="14">
        <v>7</v>
      </c>
      <c r="L10" s="14">
        <v>7</v>
      </c>
      <c r="M10" s="14">
        <v>8</v>
      </c>
      <c r="N10" s="14">
        <v>10</v>
      </c>
      <c r="O10" s="14">
        <f>SUM(Tableau13[[#This Row],[Exercices d''obsevation]:[TIC]])</f>
        <v>95</v>
      </c>
      <c r="P10" s="26">
        <f>AVERAGE(Tableau13[[#This Row],[Exercices d''obsevation]:[TIC]])</f>
        <v>8.6363636363636367</v>
      </c>
      <c r="Q10" s="14">
        <f>RANK(Tableau13[[#This Row],[Moyenne]],Tableau13[Moyenne],0)</f>
        <v>9</v>
      </c>
      <c r="R10" s="28" t="str">
        <f>IF(Tableau13[[#This Row],[Moyenne]]&gt;=5,"Validé","Non Validé")</f>
        <v>Validé</v>
      </c>
    </row>
    <row r="11" spans="1:18" ht="24.95" customHeight="1" thickBot="1" x14ac:dyDescent="0.3">
      <c r="A11" s="2">
        <v>59</v>
      </c>
      <c r="B11" s="1" t="s">
        <v>31</v>
      </c>
      <c r="C11" s="44" t="s">
        <v>143</v>
      </c>
      <c r="D11" s="11">
        <v>10</v>
      </c>
      <c r="E11" s="11">
        <v>9</v>
      </c>
      <c r="F11" s="11">
        <v>10</v>
      </c>
      <c r="G11" s="11">
        <v>10</v>
      </c>
      <c r="H11" s="11">
        <v>7</v>
      </c>
      <c r="I11" s="11">
        <v>7</v>
      </c>
      <c r="J11" s="11">
        <v>7</v>
      </c>
      <c r="K11" s="11">
        <v>8</v>
      </c>
      <c r="L11" s="11">
        <v>6</v>
      </c>
      <c r="M11" s="11">
        <v>10</v>
      </c>
      <c r="N11" s="11">
        <v>10</v>
      </c>
      <c r="O11" s="11">
        <f>SUM(Tableau13[[#This Row],[Exercices d''obsevation]:[TIC]])</f>
        <v>94</v>
      </c>
      <c r="P11" s="25">
        <f>AVERAGE(Tableau13[[#This Row],[Exercices d''obsevation]:[TIC]])</f>
        <v>8.545454545454545</v>
      </c>
      <c r="Q11" s="11">
        <f>RANK(Tableau13[[#This Row],[Moyenne]],Tableau13[Moyenne],0)</f>
        <v>10</v>
      </c>
      <c r="R11" s="43" t="str">
        <f>IF(Tableau13[[#This Row],[Moyenne]]&gt;=5,"Validé","Non Validé")</f>
        <v>Validé</v>
      </c>
    </row>
    <row r="12" spans="1:18" ht="24.95" customHeight="1" thickBot="1" x14ac:dyDescent="0.3">
      <c r="A12" s="2">
        <v>73</v>
      </c>
      <c r="B12" s="1" t="s">
        <v>7</v>
      </c>
      <c r="C12" s="44" t="s">
        <v>143</v>
      </c>
      <c r="D12" s="11">
        <v>10</v>
      </c>
      <c r="E12" s="11">
        <v>10</v>
      </c>
      <c r="F12" s="11">
        <v>8</v>
      </c>
      <c r="G12" s="11">
        <v>10</v>
      </c>
      <c r="H12" s="11">
        <v>6</v>
      </c>
      <c r="I12" s="11">
        <v>6</v>
      </c>
      <c r="J12" s="11">
        <v>8</v>
      </c>
      <c r="K12" s="11">
        <v>8</v>
      </c>
      <c r="L12" s="11">
        <v>9</v>
      </c>
      <c r="M12" s="11">
        <v>9</v>
      </c>
      <c r="N12" s="11">
        <v>10</v>
      </c>
      <c r="O12" s="11">
        <f>SUM(Tableau13[[#This Row],[Exercices d''obsevation]:[TIC]])</f>
        <v>94</v>
      </c>
      <c r="P12" s="25">
        <f>AVERAGE(Tableau13[[#This Row],[Exercices d''obsevation]:[TIC]])</f>
        <v>8.545454545454545</v>
      </c>
      <c r="Q12" s="11">
        <f>RANK(Tableau13[[#This Row],[Moyenne]],Tableau13[Moyenne],0)</f>
        <v>10</v>
      </c>
      <c r="R12" s="43" t="str">
        <f>IF(Tableau13[[#This Row],[Moyenne]]&gt;=5,"Validé","Non Validé")</f>
        <v>Validé</v>
      </c>
    </row>
    <row r="13" spans="1:18" ht="24.95" customHeight="1" thickBot="1" x14ac:dyDescent="0.3">
      <c r="A13" s="2">
        <v>1</v>
      </c>
      <c r="B13" s="1" t="s">
        <v>29</v>
      </c>
      <c r="C13" s="44" t="s">
        <v>143</v>
      </c>
      <c r="D13" s="11">
        <v>10</v>
      </c>
      <c r="E13" s="11">
        <v>9</v>
      </c>
      <c r="F13" s="11">
        <v>9</v>
      </c>
      <c r="G13" s="11">
        <v>9</v>
      </c>
      <c r="H13" s="11">
        <v>9</v>
      </c>
      <c r="I13" s="11">
        <v>10</v>
      </c>
      <c r="J13" s="11">
        <v>3</v>
      </c>
      <c r="K13" s="11">
        <v>9</v>
      </c>
      <c r="L13" s="11">
        <v>5</v>
      </c>
      <c r="M13" s="11">
        <v>10</v>
      </c>
      <c r="N13" s="11">
        <v>10</v>
      </c>
      <c r="O13" s="11">
        <f>SUM(Tableau13[[#This Row],[Exercices d''obsevation]:[TIC]])</f>
        <v>93</v>
      </c>
      <c r="P13" s="25">
        <f>AVERAGE(Tableau13[[#This Row],[Exercices d''obsevation]:[TIC]])</f>
        <v>8.454545454545455</v>
      </c>
      <c r="Q13" s="11">
        <f>RANK(Tableau13[[#This Row],[Moyenne]],Tableau13[Moyenne],0)</f>
        <v>12</v>
      </c>
      <c r="R13" s="43" t="str">
        <f>IF(Tableau13[[#This Row],[Moyenne]]&gt;=5,"Validé","Non Validé")</f>
        <v>Validé</v>
      </c>
    </row>
    <row r="14" spans="1:18" ht="24.95" customHeight="1" thickBot="1" x14ac:dyDescent="0.3">
      <c r="A14" s="2">
        <v>11</v>
      </c>
      <c r="B14" s="9" t="s">
        <v>73</v>
      </c>
      <c r="C14" s="12" t="s">
        <v>142</v>
      </c>
      <c r="D14" s="12">
        <v>6</v>
      </c>
      <c r="E14" s="12">
        <v>7</v>
      </c>
      <c r="F14" s="12">
        <v>8</v>
      </c>
      <c r="G14" s="12">
        <v>10</v>
      </c>
      <c r="H14" s="12">
        <v>9</v>
      </c>
      <c r="I14" s="12">
        <v>9</v>
      </c>
      <c r="J14" s="12">
        <v>8</v>
      </c>
      <c r="K14" s="12">
        <v>8</v>
      </c>
      <c r="L14" s="12">
        <v>10</v>
      </c>
      <c r="M14" s="12">
        <v>8</v>
      </c>
      <c r="N14" s="12">
        <v>10</v>
      </c>
      <c r="O14" s="14">
        <f>SUM(Tableau13[[#This Row],[Exercices d''obsevation]:[TIC]])</f>
        <v>93</v>
      </c>
      <c r="P14" s="26">
        <f>AVERAGE(Tableau13[[#This Row],[Exercices d''obsevation]:[TIC]])</f>
        <v>8.454545454545455</v>
      </c>
      <c r="Q14" s="14">
        <f>RANK(Tableau13[[#This Row],[Moyenne]],Tableau13[Moyenne],0)</f>
        <v>12</v>
      </c>
      <c r="R14" s="28" t="str">
        <f>IF(Tableau13[[#This Row],[Moyenne]]&gt;=5,"Validé","Non Validé")</f>
        <v>Validé</v>
      </c>
    </row>
    <row r="15" spans="1:18" ht="24.95" customHeight="1" thickBot="1" x14ac:dyDescent="0.3">
      <c r="A15" s="2">
        <v>13</v>
      </c>
      <c r="B15" s="9" t="s">
        <v>138</v>
      </c>
      <c r="C15" s="12" t="s">
        <v>142</v>
      </c>
      <c r="D15" s="12">
        <v>9</v>
      </c>
      <c r="E15" s="12">
        <v>9</v>
      </c>
      <c r="F15" s="12">
        <v>8</v>
      </c>
      <c r="G15" s="12">
        <v>10</v>
      </c>
      <c r="H15" s="12">
        <v>9</v>
      </c>
      <c r="I15" s="12">
        <v>9</v>
      </c>
      <c r="J15" s="12">
        <v>7</v>
      </c>
      <c r="K15" s="12">
        <v>7</v>
      </c>
      <c r="L15" s="12">
        <v>6</v>
      </c>
      <c r="M15" s="12">
        <v>9</v>
      </c>
      <c r="N15" s="12">
        <v>10</v>
      </c>
      <c r="O15" s="14">
        <f>SUM(Tableau13[[#This Row],[Exercices d''obsevation]:[TIC]])</f>
        <v>93</v>
      </c>
      <c r="P15" s="26">
        <f>AVERAGE(Tableau13[[#This Row],[Exercices d''obsevation]:[TIC]])</f>
        <v>8.454545454545455</v>
      </c>
      <c r="Q15" s="14">
        <f>RANK(Tableau13[[#This Row],[Moyenne]],Tableau13[Moyenne],0)</f>
        <v>12</v>
      </c>
      <c r="R15" s="28" t="str">
        <f>IF(Tableau13[[#This Row],[Moyenne]]&gt;=5,"Validé","Non Validé")</f>
        <v>Validé</v>
      </c>
    </row>
    <row r="16" spans="1:18" ht="24.95" customHeight="1" thickBot="1" x14ac:dyDescent="0.3">
      <c r="A16" s="2">
        <v>97</v>
      </c>
      <c r="B16" s="9" t="s">
        <v>18</v>
      </c>
      <c r="C16" s="12" t="s">
        <v>142</v>
      </c>
      <c r="D16" s="12">
        <v>10</v>
      </c>
      <c r="E16" s="12">
        <v>9</v>
      </c>
      <c r="F16" s="12">
        <v>9</v>
      </c>
      <c r="G16" s="12">
        <v>10</v>
      </c>
      <c r="H16" s="12">
        <v>8</v>
      </c>
      <c r="I16" s="12">
        <v>8</v>
      </c>
      <c r="J16" s="12">
        <v>7</v>
      </c>
      <c r="K16" s="12">
        <v>7</v>
      </c>
      <c r="L16" s="12">
        <v>6</v>
      </c>
      <c r="M16" s="12">
        <v>9</v>
      </c>
      <c r="N16" s="12">
        <v>10</v>
      </c>
      <c r="O16" s="14">
        <f>SUM(Tableau13[[#This Row],[Exercices d''obsevation]:[TIC]])</f>
        <v>93</v>
      </c>
      <c r="P16" s="26">
        <f>AVERAGE(Tableau13[[#This Row],[Exercices d''obsevation]:[TIC]])</f>
        <v>8.454545454545455</v>
      </c>
      <c r="Q16" s="14">
        <f>RANK(Tableau13[[#This Row],[Moyenne]],Tableau13[Moyenne],0)</f>
        <v>12</v>
      </c>
      <c r="R16" s="28" t="str">
        <f>IF(Tableau13[[#This Row],[Moyenne]]&gt;=5,"Validé","Non Validé")</f>
        <v>Validé</v>
      </c>
    </row>
    <row r="17" spans="1:18" ht="24.95" customHeight="1" thickBot="1" x14ac:dyDescent="0.3">
      <c r="A17" s="2">
        <v>79</v>
      </c>
      <c r="B17" s="9" t="s">
        <v>25</v>
      </c>
      <c r="C17" s="12" t="s">
        <v>142</v>
      </c>
      <c r="D17" s="12">
        <v>8</v>
      </c>
      <c r="E17" s="12">
        <v>8</v>
      </c>
      <c r="F17" s="12">
        <v>9</v>
      </c>
      <c r="G17" s="12">
        <v>10</v>
      </c>
      <c r="H17" s="12">
        <v>8</v>
      </c>
      <c r="I17" s="12">
        <v>10</v>
      </c>
      <c r="J17" s="12">
        <v>4</v>
      </c>
      <c r="K17" s="12">
        <v>6</v>
      </c>
      <c r="L17" s="12">
        <v>9</v>
      </c>
      <c r="M17" s="12">
        <v>10</v>
      </c>
      <c r="N17" s="12">
        <v>10</v>
      </c>
      <c r="O17" s="14">
        <f>SUM(Tableau13[[#This Row],[Exercices d''obsevation]:[TIC]])</f>
        <v>92</v>
      </c>
      <c r="P17" s="26">
        <f>AVERAGE(Tableau13[[#This Row],[Exercices d''obsevation]:[TIC]])</f>
        <v>8.3636363636363633</v>
      </c>
      <c r="Q17" s="14">
        <f>RANK(Tableau13[[#This Row],[Moyenne]],Tableau13[Moyenne],0)</f>
        <v>16</v>
      </c>
      <c r="R17" s="28" t="str">
        <f>IF(Tableau13[[#This Row],[Moyenne]]&gt;=5,"Validé","Non Validé")</f>
        <v>Validé</v>
      </c>
    </row>
    <row r="18" spans="1:18" ht="24.95" customHeight="1" thickBot="1" x14ac:dyDescent="0.3">
      <c r="A18" s="2">
        <v>4</v>
      </c>
      <c r="B18" s="1" t="s">
        <v>27</v>
      </c>
      <c r="C18" s="44" t="s">
        <v>143</v>
      </c>
      <c r="D18" s="11">
        <v>8</v>
      </c>
      <c r="E18" s="11">
        <v>7</v>
      </c>
      <c r="F18" s="11">
        <v>7</v>
      </c>
      <c r="G18" s="11">
        <v>10</v>
      </c>
      <c r="H18" s="11">
        <v>8</v>
      </c>
      <c r="I18" s="11">
        <v>9</v>
      </c>
      <c r="J18" s="11">
        <v>8</v>
      </c>
      <c r="K18" s="11">
        <v>7</v>
      </c>
      <c r="L18" s="11">
        <v>9</v>
      </c>
      <c r="M18" s="11">
        <v>8</v>
      </c>
      <c r="N18" s="11">
        <v>10</v>
      </c>
      <c r="O18" s="11">
        <f>SUM(Tableau13[[#This Row],[Exercices d''obsevation]:[TIC]])</f>
        <v>91</v>
      </c>
      <c r="P18" s="25">
        <f>AVERAGE(Tableau13[[#This Row],[Exercices d''obsevation]:[TIC]])</f>
        <v>8.2727272727272734</v>
      </c>
      <c r="Q18" s="11">
        <f>RANK(Tableau13[[#This Row],[Moyenne]],Tableau13[Moyenne],0)</f>
        <v>17</v>
      </c>
      <c r="R18" s="43" t="str">
        <f>IF(Tableau13[[#This Row],[Moyenne]]&gt;=5,"Validé","Non Validé")</f>
        <v>Validé</v>
      </c>
    </row>
    <row r="19" spans="1:18" ht="24.95" customHeight="1" thickBot="1" x14ac:dyDescent="0.3">
      <c r="A19" s="2">
        <v>12</v>
      </c>
      <c r="B19" s="9" t="s">
        <v>38</v>
      </c>
      <c r="C19" s="12" t="s">
        <v>142</v>
      </c>
      <c r="D19" s="12">
        <v>10</v>
      </c>
      <c r="E19" s="12">
        <v>9</v>
      </c>
      <c r="F19" s="12">
        <v>8</v>
      </c>
      <c r="G19" s="12">
        <v>10</v>
      </c>
      <c r="H19" s="12">
        <v>8</v>
      </c>
      <c r="I19" s="12">
        <v>8</v>
      </c>
      <c r="J19" s="12">
        <v>5</v>
      </c>
      <c r="K19" s="12">
        <v>7</v>
      </c>
      <c r="L19" s="12">
        <v>7</v>
      </c>
      <c r="M19" s="12">
        <v>9</v>
      </c>
      <c r="N19" s="12">
        <v>10</v>
      </c>
      <c r="O19" s="14">
        <f>SUM(Tableau13[[#This Row],[Exercices d''obsevation]:[TIC]])</f>
        <v>91</v>
      </c>
      <c r="P19" s="26">
        <f>AVERAGE(Tableau13[[#This Row],[Exercices d''obsevation]:[TIC]])</f>
        <v>8.2727272727272734</v>
      </c>
      <c r="Q19" s="14">
        <f>RANK(Tableau13[[#This Row],[Moyenne]],Tableau13[Moyenne],0)</f>
        <v>17</v>
      </c>
      <c r="R19" s="28" t="str">
        <f>IF(Tableau13[[#This Row],[Moyenne]]&gt;=5,"Validé","Non Validé")</f>
        <v>Validé</v>
      </c>
    </row>
    <row r="20" spans="1:18" ht="24.95" customHeight="1" thickBot="1" x14ac:dyDescent="0.3">
      <c r="A20" s="2">
        <v>104</v>
      </c>
      <c r="B20" s="9" t="s">
        <v>8</v>
      </c>
      <c r="C20" s="12" t="s">
        <v>142</v>
      </c>
      <c r="D20" s="12">
        <v>10</v>
      </c>
      <c r="E20" s="12">
        <v>8</v>
      </c>
      <c r="F20" s="12">
        <v>9</v>
      </c>
      <c r="G20" s="12">
        <v>9</v>
      </c>
      <c r="H20" s="12">
        <v>7</v>
      </c>
      <c r="I20" s="12">
        <v>8</v>
      </c>
      <c r="J20" s="12">
        <v>7</v>
      </c>
      <c r="K20" s="12">
        <v>8</v>
      </c>
      <c r="L20" s="12">
        <v>8</v>
      </c>
      <c r="M20" s="12">
        <v>8</v>
      </c>
      <c r="N20" s="12">
        <v>9</v>
      </c>
      <c r="O20" s="14">
        <f>SUM(Tableau13[[#This Row],[Exercices d''obsevation]:[TIC]])</f>
        <v>91</v>
      </c>
      <c r="P20" s="26">
        <f>AVERAGE(Tableau13[[#This Row],[Exercices d''obsevation]:[TIC]])</f>
        <v>8.2727272727272734</v>
      </c>
      <c r="Q20" s="14">
        <f>RANK(Tableau13[[#This Row],[Moyenne]],Tableau13[Moyenne],0)</f>
        <v>17</v>
      </c>
      <c r="R20" s="28" t="str">
        <f>IF(Tableau13[[#This Row],[Moyenne]]&gt;=5,"Validé","Non Validé")</f>
        <v>Validé</v>
      </c>
    </row>
    <row r="21" spans="1:18" ht="24.95" customHeight="1" thickBot="1" x14ac:dyDescent="0.3">
      <c r="A21" s="2">
        <v>114</v>
      </c>
      <c r="B21" s="9" t="s">
        <v>2</v>
      </c>
      <c r="C21" s="12" t="s">
        <v>142</v>
      </c>
      <c r="D21" s="12">
        <v>10</v>
      </c>
      <c r="E21" s="12">
        <v>9</v>
      </c>
      <c r="F21" s="12">
        <v>8</v>
      </c>
      <c r="G21" s="12">
        <v>8</v>
      </c>
      <c r="H21" s="12">
        <v>7</v>
      </c>
      <c r="I21" s="12">
        <v>9</v>
      </c>
      <c r="J21" s="12">
        <v>6</v>
      </c>
      <c r="K21" s="12">
        <v>6</v>
      </c>
      <c r="L21" s="12">
        <v>8</v>
      </c>
      <c r="M21" s="12">
        <v>10</v>
      </c>
      <c r="N21" s="12">
        <v>10</v>
      </c>
      <c r="O21" s="14">
        <f>SUM(Tableau13[[#This Row],[Exercices d''obsevation]:[TIC]])</f>
        <v>91</v>
      </c>
      <c r="P21" s="26">
        <f>AVERAGE(Tableau13[[#This Row],[Exercices d''obsevation]:[TIC]])</f>
        <v>8.2727272727272734</v>
      </c>
      <c r="Q21" s="14">
        <f>RANK(Tableau13[[#This Row],[Moyenne]],Tableau13[Moyenne],0)</f>
        <v>17</v>
      </c>
      <c r="R21" s="28" t="str">
        <f>IF(Tableau13[[#This Row],[Moyenne]]&gt;=5,"Validé","Non Validé")</f>
        <v>Validé</v>
      </c>
    </row>
    <row r="22" spans="1:18" ht="24.95" customHeight="1" thickBot="1" x14ac:dyDescent="0.3">
      <c r="A22" s="2">
        <v>53</v>
      </c>
      <c r="B22" s="1" t="s">
        <v>110</v>
      </c>
      <c r="C22" s="44" t="s">
        <v>143</v>
      </c>
      <c r="D22" s="11">
        <v>10</v>
      </c>
      <c r="E22" s="11">
        <v>10</v>
      </c>
      <c r="F22" s="11">
        <v>8</v>
      </c>
      <c r="G22" s="11">
        <v>10</v>
      </c>
      <c r="H22" s="11">
        <v>8</v>
      </c>
      <c r="I22" s="11">
        <v>8</v>
      </c>
      <c r="J22" s="11">
        <v>8</v>
      </c>
      <c r="K22" s="11">
        <v>8</v>
      </c>
      <c r="L22" s="11">
        <v>9</v>
      </c>
      <c r="M22" s="11">
        <v>10</v>
      </c>
      <c r="N22" s="11">
        <v>0</v>
      </c>
      <c r="O22" s="11">
        <f>SUM(Tableau13[[#This Row],[Exercices d''obsevation]:[TIC]])</f>
        <v>89</v>
      </c>
      <c r="P22" s="25">
        <f>AVERAGE(Tableau13[[#This Row],[Exercices d''obsevation]:[TIC]])</f>
        <v>8.0909090909090917</v>
      </c>
      <c r="Q22" s="11">
        <f>RANK(Tableau13[[#This Row],[Moyenne]],Tableau13[Moyenne],0)</f>
        <v>21</v>
      </c>
      <c r="R22" s="43" t="str">
        <f>IF(Tableau13[[#This Row],[Moyenne]]&gt;=5,"Validé","Non Validé")</f>
        <v>Validé</v>
      </c>
    </row>
    <row r="23" spans="1:18" ht="24.95" customHeight="1" thickBot="1" x14ac:dyDescent="0.3">
      <c r="A23" s="2">
        <v>42</v>
      </c>
      <c r="B23" s="9" t="s">
        <v>22</v>
      </c>
      <c r="C23" s="12" t="s">
        <v>142</v>
      </c>
      <c r="D23" s="12">
        <v>10</v>
      </c>
      <c r="E23" s="12">
        <v>10</v>
      </c>
      <c r="F23" s="12">
        <v>8</v>
      </c>
      <c r="G23" s="12">
        <v>9</v>
      </c>
      <c r="H23" s="12">
        <v>7</v>
      </c>
      <c r="I23" s="12">
        <v>8</v>
      </c>
      <c r="J23" s="12">
        <v>7</v>
      </c>
      <c r="K23" s="12">
        <v>7</v>
      </c>
      <c r="L23" s="12">
        <v>2</v>
      </c>
      <c r="M23" s="12">
        <v>10</v>
      </c>
      <c r="N23" s="12">
        <v>10</v>
      </c>
      <c r="O23" s="14">
        <f>SUM(Tableau13[[#This Row],[Exercices d''obsevation]:[TIC]])</f>
        <v>88</v>
      </c>
      <c r="P23" s="26">
        <f>AVERAGE(Tableau13[[#This Row],[Exercices d''obsevation]:[TIC]])</f>
        <v>8</v>
      </c>
      <c r="Q23" s="14">
        <f>RANK(Tableau13[[#This Row],[Moyenne]],Tableau13[Moyenne],0)</f>
        <v>22</v>
      </c>
      <c r="R23" s="28" t="str">
        <f>IF(Tableau13[[#This Row],[Moyenne]]&gt;=5,"Validé","Non Validé")</f>
        <v>Validé</v>
      </c>
    </row>
    <row r="24" spans="1:18" ht="24.95" customHeight="1" thickBot="1" x14ac:dyDescent="0.3">
      <c r="A24" s="2">
        <v>58</v>
      </c>
      <c r="B24" s="1" t="s">
        <v>108</v>
      </c>
      <c r="C24" s="44" t="s">
        <v>143</v>
      </c>
      <c r="D24" s="11">
        <v>10</v>
      </c>
      <c r="E24" s="11">
        <v>10</v>
      </c>
      <c r="F24" s="11">
        <v>6</v>
      </c>
      <c r="G24" s="11">
        <v>6</v>
      </c>
      <c r="H24" s="11">
        <v>7</v>
      </c>
      <c r="I24" s="11">
        <v>7</v>
      </c>
      <c r="J24" s="11">
        <v>2</v>
      </c>
      <c r="K24" s="11">
        <v>9</v>
      </c>
      <c r="L24" s="11">
        <v>9</v>
      </c>
      <c r="M24" s="11">
        <v>10</v>
      </c>
      <c r="N24" s="11">
        <v>10</v>
      </c>
      <c r="O24" s="11">
        <f>SUM(Tableau13[[#This Row],[Exercices d''obsevation]:[TIC]])</f>
        <v>86</v>
      </c>
      <c r="P24" s="25">
        <f>AVERAGE(Tableau13[[#This Row],[Exercices d''obsevation]:[TIC]])</f>
        <v>7.8181818181818183</v>
      </c>
      <c r="Q24" s="11">
        <f>RANK(Tableau13[[#This Row],[Moyenne]],Tableau13[Moyenne],0)</f>
        <v>23</v>
      </c>
      <c r="R24" s="43" t="str">
        <f>IF(Tableau13[[#This Row],[Moyenne]]&gt;=5,"Validé","Non Validé")</f>
        <v>Validé</v>
      </c>
    </row>
    <row r="25" spans="1:18" ht="24.95" customHeight="1" thickBot="1" x14ac:dyDescent="0.3">
      <c r="A25" s="2">
        <v>35</v>
      </c>
      <c r="B25" s="9" t="s">
        <v>39</v>
      </c>
      <c r="C25" s="12" t="s">
        <v>142</v>
      </c>
      <c r="D25" s="12">
        <v>10</v>
      </c>
      <c r="E25" s="12">
        <v>10</v>
      </c>
      <c r="F25" s="12">
        <v>9</v>
      </c>
      <c r="G25" s="12">
        <v>3</v>
      </c>
      <c r="H25" s="12">
        <v>9</v>
      </c>
      <c r="I25" s="12">
        <v>9</v>
      </c>
      <c r="J25" s="12">
        <v>5</v>
      </c>
      <c r="K25" s="12">
        <v>5</v>
      </c>
      <c r="L25" s="12">
        <v>7</v>
      </c>
      <c r="M25" s="12">
        <v>8</v>
      </c>
      <c r="N25" s="12">
        <v>10</v>
      </c>
      <c r="O25" s="14">
        <f>SUM(Tableau13[[#This Row],[Exercices d''obsevation]:[TIC]])</f>
        <v>85</v>
      </c>
      <c r="P25" s="26">
        <f>AVERAGE(Tableau13[[#This Row],[Exercices d''obsevation]:[TIC]])</f>
        <v>7.7272727272727275</v>
      </c>
      <c r="Q25" s="14">
        <f>RANK(Tableau13[[#This Row],[Moyenne]],Tableau13[Moyenne],0)</f>
        <v>24</v>
      </c>
      <c r="R25" s="28" t="str">
        <f>IF(Tableau13[[#This Row],[Moyenne]]&gt;=5,"Validé","Non Validé")</f>
        <v>Validé</v>
      </c>
    </row>
    <row r="26" spans="1:18" ht="24.95" customHeight="1" thickBot="1" x14ac:dyDescent="0.3">
      <c r="A26" s="2">
        <v>63</v>
      </c>
      <c r="B26" s="1" t="s">
        <v>80</v>
      </c>
      <c r="C26" s="44" t="s">
        <v>143</v>
      </c>
      <c r="D26" s="11">
        <v>8</v>
      </c>
      <c r="E26" s="11">
        <v>9</v>
      </c>
      <c r="F26" s="11">
        <v>10</v>
      </c>
      <c r="G26" s="11">
        <v>9</v>
      </c>
      <c r="H26" s="11">
        <v>9</v>
      </c>
      <c r="I26" s="11">
        <v>10</v>
      </c>
      <c r="J26" s="11">
        <v>0</v>
      </c>
      <c r="K26" s="11">
        <v>8</v>
      </c>
      <c r="L26" s="11">
        <v>5</v>
      </c>
      <c r="M26" s="11">
        <v>7</v>
      </c>
      <c r="N26" s="11">
        <v>9</v>
      </c>
      <c r="O26" s="11">
        <f>SUM(Tableau13[[#This Row],[Exercices d''obsevation]:[TIC]])</f>
        <v>84</v>
      </c>
      <c r="P26" s="25">
        <f>AVERAGE(Tableau13[[#This Row],[Exercices d''obsevation]:[TIC]])</f>
        <v>7.6363636363636367</v>
      </c>
      <c r="Q26" s="11">
        <f>RANK(Tableau13[[#This Row],[Moyenne]],Tableau13[Moyenne],0)</f>
        <v>25</v>
      </c>
      <c r="R26" s="43" t="str">
        <f>IF(Tableau13[[#This Row],[Moyenne]]&gt;=5,"Validé","Non Validé")</f>
        <v>Validé</v>
      </c>
    </row>
    <row r="27" spans="1:18" ht="24.95" customHeight="1" thickBot="1" x14ac:dyDescent="0.3">
      <c r="A27" s="2">
        <v>99</v>
      </c>
      <c r="B27" s="9" t="s">
        <v>53</v>
      </c>
      <c r="C27" s="12" t="s">
        <v>142</v>
      </c>
      <c r="D27" s="12">
        <v>8</v>
      </c>
      <c r="E27" s="12">
        <v>10</v>
      </c>
      <c r="F27" s="12">
        <v>9</v>
      </c>
      <c r="G27" s="12">
        <v>9</v>
      </c>
      <c r="H27" s="12">
        <v>6</v>
      </c>
      <c r="I27" s="12">
        <v>8</v>
      </c>
      <c r="J27" s="12">
        <v>6</v>
      </c>
      <c r="K27" s="12">
        <v>5</v>
      </c>
      <c r="L27" s="12">
        <v>6</v>
      </c>
      <c r="M27" s="12">
        <v>9</v>
      </c>
      <c r="N27" s="12">
        <v>8</v>
      </c>
      <c r="O27" s="14">
        <f>SUM(Tableau13[[#This Row],[Exercices d''obsevation]:[TIC]])</f>
        <v>84</v>
      </c>
      <c r="P27" s="26">
        <f>AVERAGE(Tableau13[[#This Row],[Exercices d''obsevation]:[TIC]])</f>
        <v>7.6363636363636367</v>
      </c>
      <c r="Q27" s="14">
        <f>RANK(Tableau13[[#This Row],[Moyenne]],Tableau13[Moyenne],0)</f>
        <v>25</v>
      </c>
      <c r="R27" s="28" t="str">
        <f>IF(Tableau13[[#This Row],[Moyenne]]&gt;=5,"Validé","Non Validé")</f>
        <v>Validé</v>
      </c>
    </row>
    <row r="28" spans="1:18" ht="24.95" customHeight="1" thickBot="1" x14ac:dyDescent="0.3">
      <c r="A28" s="2">
        <v>2</v>
      </c>
      <c r="B28" s="9" t="s">
        <v>43</v>
      </c>
      <c r="C28" s="12" t="s">
        <v>142</v>
      </c>
      <c r="D28" s="12">
        <v>7</v>
      </c>
      <c r="E28" s="12">
        <v>8</v>
      </c>
      <c r="F28" s="12">
        <v>9</v>
      </c>
      <c r="G28" s="12">
        <v>9</v>
      </c>
      <c r="H28" s="12">
        <v>8</v>
      </c>
      <c r="I28" s="12">
        <v>9</v>
      </c>
      <c r="J28" s="12">
        <v>8</v>
      </c>
      <c r="K28" s="12">
        <v>5</v>
      </c>
      <c r="L28" s="12">
        <v>2</v>
      </c>
      <c r="M28" s="12">
        <v>9</v>
      </c>
      <c r="N28" s="12">
        <v>8</v>
      </c>
      <c r="O28" s="14">
        <f>SUM(Tableau13[[#This Row],[Exercices d''obsevation]:[TIC]])</f>
        <v>82</v>
      </c>
      <c r="P28" s="26">
        <f>AVERAGE(Tableau13[[#This Row],[Exercices d''obsevation]:[TIC]])</f>
        <v>7.4545454545454541</v>
      </c>
      <c r="Q28" s="14">
        <f>RANK(Tableau13[[#This Row],[Moyenne]],Tableau13[Moyenne],0)</f>
        <v>27</v>
      </c>
      <c r="R28" s="28" t="str">
        <f>IF(Tableau13[[#This Row],[Moyenne]]&gt;=5,"Validé","Non Validé")</f>
        <v>Validé</v>
      </c>
    </row>
    <row r="29" spans="1:18" ht="24.95" customHeight="1" thickBot="1" x14ac:dyDescent="0.3">
      <c r="A29" s="2">
        <v>48</v>
      </c>
      <c r="B29" s="30" t="s">
        <v>46</v>
      </c>
      <c r="C29" s="12" t="s">
        <v>142</v>
      </c>
      <c r="D29" s="31">
        <v>10</v>
      </c>
      <c r="E29" s="31">
        <v>10</v>
      </c>
      <c r="F29" s="31">
        <v>8</v>
      </c>
      <c r="G29" s="31">
        <v>9</v>
      </c>
      <c r="H29" s="31">
        <v>9</v>
      </c>
      <c r="I29" s="31">
        <v>10</v>
      </c>
      <c r="J29" s="31">
        <v>0</v>
      </c>
      <c r="K29" s="31">
        <v>7</v>
      </c>
      <c r="L29" s="31">
        <v>2</v>
      </c>
      <c r="M29" s="31">
        <v>7</v>
      </c>
      <c r="N29" s="31">
        <v>10</v>
      </c>
      <c r="O29" s="23">
        <f>SUM(Tableau13[[#This Row],[Exercices d''obsevation]:[TIC]])</f>
        <v>82</v>
      </c>
      <c r="P29" s="33">
        <f>AVERAGE(Tableau13[[#This Row],[Exercices d''obsevation]:[TIC]])</f>
        <v>7.4545454545454541</v>
      </c>
      <c r="Q29" s="23">
        <f>RANK(Tableau13[[#This Row],[Moyenne]],Tableau13[Moyenne],0)</f>
        <v>27</v>
      </c>
      <c r="R29" s="28" t="str">
        <f>IF(Tableau13[[#This Row],[Moyenne]]&gt;=5,"Validé","Non Validé")</f>
        <v>Validé</v>
      </c>
    </row>
    <row r="30" spans="1:18" s="21" customFormat="1" ht="24.95" customHeight="1" thickBot="1" x14ac:dyDescent="0.3">
      <c r="A30" s="2">
        <v>65</v>
      </c>
      <c r="B30" s="9" t="s">
        <v>24</v>
      </c>
      <c r="C30" s="12" t="s">
        <v>142</v>
      </c>
      <c r="D30" s="12">
        <v>8</v>
      </c>
      <c r="E30" s="12">
        <v>10</v>
      </c>
      <c r="F30" s="12">
        <v>8</v>
      </c>
      <c r="G30" s="12">
        <v>8</v>
      </c>
      <c r="H30" s="12">
        <v>10</v>
      </c>
      <c r="I30" s="12">
        <v>9</v>
      </c>
      <c r="J30" s="12">
        <v>3</v>
      </c>
      <c r="K30" s="12">
        <v>3</v>
      </c>
      <c r="L30" s="12">
        <v>3</v>
      </c>
      <c r="M30" s="12">
        <v>10</v>
      </c>
      <c r="N30" s="12">
        <v>10</v>
      </c>
      <c r="O30" s="14">
        <f>SUM(Tableau13[[#This Row],[Exercices d''obsevation]:[TIC]])</f>
        <v>82</v>
      </c>
      <c r="P30" s="26">
        <f>AVERAGE(Tableau13[[#This Row],[Exercices d''obsevation]:[TIC]])</f>
        <v>7.4545454545454541</v>
      </c>
      <c r="Q30" s="14">
        <f>RANK(Tableau13[[#This Row],[Moyenne]],Tableau13[Moyenne],0)</f>
        <v>27</v>
      </c>
      <c r="R30" s="28" t="str">
        <f>IF(Tableau13[[#This Row],[Moyenne]]&gt;=5,"Validé","Non Validé")</f>
        <v>Validé</v>
      </c>
    </row>
    <row r="31" spans="1:18" ht="24.95" customHeight="1" thickBot="1" x14ac:dyDescent="0.3">
      <c r="A31" s="2">
        <v>85</v>
      </c>
      <c r="B31" s="1" t="s">
        <v>30</v>
      </c>
      <c r="C31" s="44" t="s">
        <v>143</v>
      </c>
      <c r="D31" s="11">
        <v>4</v>
      </c>
      <c r="E31" s="11">
        <v>9</v>
      </c>
      <c r="F31" s="11">
        <v>8</v>
      </c>
      <c r="G31" s="11">
        <v>9</v>
      </c>
      <c r="H31" s="11">
        <v>7</v>
      </c>
      <c r="I31" s="11">
        <v>8</v>
      </c>
      <c r="J31" s="11">
        <v>6</v>
      </c>
      <c r="K31" s="11">
        <v>6</v>
      </c>
      <c r="L31" s="11">
        <v>7</v>
      </c>
      <c r="M31" s="11">
        <v>9</v>
      </c>
      <c r="N31" s="11">
        <v>9</v>
      </c>
      <c r="O31" s="11">
        <f>SUM(Tableau13[[#This Row],[Exercices d''obsevation]:[TIC]])</f>
        <v>82</v>
      </c>
      <c r="P31" s="25">
        <f>AVERAGE(Tableau13[[#This Row],[Exercices d''obsevation]:[TIC]])</f>
        <v>7.4545454545454541</v>
      </c>
      <c r="Q31" s="11">
        <f>RANK(Tableau13[[#This Row],[Moyenne]],Tableau13[Moyenne],0)</f>
        <v>27</v>
      </c>
      <c r="R31" s="43" t="str">
        <f>IF(Tableau13[[#This Row],[Moyenne]]&gt;=5,"Validé","Non Validé")</f>
        <v>Validé</v>
      </c>
    </row>
    <row r="32" spans="1:18" ht="24.95" customHeight="1" thickBot="1" x14ac:dyDescent="0.3">
      <c r="A32" s="2">
        <v>88</v>
      </c>
      <c r="B32" s="1" t="s">
        <v>130</v>
      </c>
      <c r="C32" s="44" t="s">
        <v>143</v>
      </c>
      <c r="D32" s="11">
        <v>8</v>
      </c>
      <c r="E32" s="11">
        <v>10</v>
      </c>
      <c r="F32" s="11">
        <v>8</v>
      </c>
      <c r="G32" s="11">
        <v>9</v>
      </c>
      <c r="H32" s="11">
        <v>8</v>
      </c>
      <c r="I32" s="11">
        <v>10</v>
      </c>
      <c r="J32" s="11">
        <v>0</v>
      </c>
      <c r="K32" s="11">
        <v>7</v>
      </c>
      <c r="L32" s="11">
        <v>3</v>
      </c>
      <c r="M32" s="11">
        <v>9</v>
      </c>
      <c r="N32" s="11">
        <v>10</v>
      </c>
      <c r="O32" s="11">
        <f>SUM(Tableau13[[#This Row],[Exercices d''obsevation]:[TIC]])</f>
        <v>82</v>
      </c>
      <c r="P32" s="25">
        <f>AVERAGE(Tableau13[[#This Row],[Exercices d''obsevation]:[TIC]])</f>
        <v>7.4545454545454541</v>
      </c>
      <c r="Q32" s="11">
        <f>RANK(Tableau13[[#This Row],[Moyenne]],Tableau13[Moyenne],0)</f>
        <v>27</v>
      </c>
      <c r="R32" s="43" t="str">
        <f>IF(Tableau13[[#This Row],[Moyenne]]&gt;=5,"Validé","Non Validé")</f>
        <v>Validé</v>
      </c>
    </row>
    <row r="33" spans="1:18" ht="24.95" customHeight="1" thickBot="1" x14ac:dyDescent="0.3">
      <c r="A33" s="2">
        <v>113</v>
      </c>
      <c r="B33" s="1" t="s">
        <v>4</v>
      </c>
      <c r="C33" s="44" t="s">
        <v>143</v>
      </c>
      <c r="D33" s="11">
        <v>8</v>
      </c>
      <c r="E33" s="11">
        <v>8</v>
      </c>
      <c r="F33" s="11">
        <v>8</v>
      </c>
      <c r="G33" s="11">
        <v>9</v>
      </c>
      <c r="H33" s="11">
        <v>8</v>
      </c>
      <c r="I33" s="11">
        <v>7</v>
      </c>
      <c r="J33" s="11">
        <v>5</v>
      </c>
      <c r="K33" s="11">
        <v>6</v>
      </c>
      <c r="L33" s="11">
        <v>5</v>
      </c>
      <c r="M33" s="11">
        <v>9</v>
      </c>
      <c r="N33" s="11">
        <v>9</v>
      </c>
      <c r="O33" s="11">
        <f>SUM(Tableau13[[#This Row],[Exercices d''obsevation]:[TIC]])</f>
        <v>82</v>
      </c>
      <c r="P33" s="25">
        <f>AVERAGE(Tableau13[[#This Row],[Exercices d''obsevation]:[TIC]])</f>
        <v>7.4545454545454541</v>
      </c>
      <c r="Q33" s="11">
        <f>RANK(Tableau13[[#This Row],[Moyenne]],Tableau13[Moyenne],0)</f>
        <v>27</v>
      </c>
      <c r="R33" s="43" t="str">
        <f>IF(Tableau13[[#This Row],[Moyenne]]&gt;=5,"Validé","Non Validé")</f>
        <v>Validé</v>
      </c>
    </row>
    <row r="34" spans="1:18" ht="33.75" customHeight="1" thickBot="1" x14ac:dyDescent="0.3">
      <c r="A34" s="2">
        <v>8</v>
      </c>
      <c r="B34" s="9" t="s">
        <v>12</v>
      </c>
      <c r="C34" s="12" t="s">
        <v>142</v>
      </c>
      <c r="D34" s="12">
        <v>7</v>
      </c>
      <c r="E34" s="12">
        <v>7</v>
      </c>
      <c r="F34" s="12">
        <v>9</v>
      </c>
      <c r="G34" s="12">
        <v>10</v>
      </c>
      <c r="H34" s="12">
        <v>9</v>
      </c>
      <c r="I34" s="12">
        <v>10</v>
      </c>
      <c r="J34" s="12">
        <v>0</v>
      </c>
      <c r="K34" s="12">
        <v>8</v>
      </c>
      <c r="L34" s="12">
        <v>6</v>
      </c>
      <c r="M34" s="12">
        <v>7</v>
      </c>
      <c r="N34" s="12">
        <v>8</v>
      </c>
      <c r="O34" s="14">
        <f>SUM(Tableau13[[#This Row],[Exercices d''obsevation]:[TIC]])</f>
        <v>81</v>
      </c>
      <c r="P34" s="26">
        <f>AVERAGE(Tableau13[[#This Row],[Exercices d''obsevation]:[TIC]])</f>
        <v>7.3636363636363633</v>
      </c>
      <c r="Q34" s="14">
        <f>RANK(Tableau13[[#This Row],[Moyenne]],Tableau13[Moyenne],0)</f>
        <v>33</v>
      </c>
      <c r="R34" s="28" t="str">
        <f>IF(Tableau13[[#This Row],[Moyenne]]&gt;=5,"Validé","Non Validé")</f>
        <v>Validé</v>
      </c>
    </row>
    <row r="35" spans="1:18" ht="24.95" customHeight="1" thickBot="1" x14ac:dyDescent="0.3">
      <c r="A35" s="2">
        <v>69</v>
      </c>
      <c r="B35" s="9" t="s">
        <v>55</v>
      </c>
      <c r="C35" s="12" t="s">
        <v>142</v>
      </c>
      <c r="D35" s="12">
        <v>8</v>
      </c>
      <c r="E35" s="12">
        <v>10</v>
      </c>
      <c r="F35" s="12">
        <v>8</v>
      </c>
      <c r="G35" s="12">
        <v>6</v>
      </c>
      <c r="H35" s="12">
        <v>7</v>
      </c>
      <c r="I35" s="12">
        <v>9</v>
      </c>
      <c r="J35" s="12">
        <v>2</v>
      </c>
      <c r="K35" s="12">
        <v>8</v>
      </c>
      <c r="L35" s="12">
        <v>5</v>
      </c>
      <c r="M35" s="12">
        <v>9</v>
      </c>
      <c r="N35" s="12">
        <v>9</v>
      </c>
      <c r="O35" s="14">
        <f>SUM(Tableau13[[#This Row],[Exercices d''obsevation]:[TIC]])</f>
        <v>81</v>
      </c>
      <c r="P35" s="26">
        <f>AVERAGE(Tableau13[[#This Row],[Exercices d''obsevation]:[TIC]])</f>
        <v>7.3636363636363633</v>
      </c>
      <c r="Q35" s="14">
        <f>RANK(Tableau13[[#This Row],[Moyenne]],Tableau13[Moyenne],0)</f>
        <v>33</v>
      </c>
      <c r="R35" s="28" t="str">
        <f>IF(Tableau13[[#This Row],[Moyenne]]&gt;=5,"Validé","Non Validé")</f>
        <v>Validé</v>
      </c>
    </row>
    <row r="36" spans="1:18" ht="24.95" customHeight="1" thickBot="1" x14ac:dyDescent="0.3">
      <c r="A36" s="2">
        <v>106</v>
      </c>
      <c r="B36" s="1" t="s">
        <v>33</v>
      </c>
      <c r="C36" s="44" t="s">
        <v>143</v>
      </c>
      <c r="D36" s="11">
        <v>8</v>
      </c>
      <c r="E36" s="11">
        <v>7</v>
      </c>
      <c r="F36" s="11">
        <v>9</v>
      </c>
      <c r="G36" s="11">
        <v>9</v>
      </c>
      <c r="H36" s="11">
        <v>8</v>
      </c>
      <c r="I36" s="11">
        <v>6</v>
      </c>
      <c r="J36" s="11">
        <v>2</v>
      </c>
      <c r="K36" s="11">
        <v>7</v>
      </c>
      <c r="L36" s="11">
        <v>8</v>
      </c>
      <c r="M36" s="11">
        <v>8</v>
      </c>
      <c r="N36" s="11">
        <v>9</v>
      </c>
      <c r="O36" s="11">
        <f>SUM(Tableau13[[#This Row],[Exercices d''obsevation]:[TIC]])</f>
        <v>81</v>
      </c>
      <c r="P36" s="25">
        <f>AVERAGE(Tableau13[[#This Row],[Exercices d''obsevation]:[TIC]])</f>
        <v>7.3636363636363633</v>
      </c>
      <c r="Q36" s="11">
        <f>RANK(Tableau13[[#This Row],[Moyenne]],Tableau13[Moyenne],0)</f>
        <v>33</v>
      </c>
      <c r="R36" s="43" t="str">
        <f>IF(Tableau13[[#This Row],[Moyenne]]&gt;=5,"Validé","Non Validé")</f>
        <v>Validé</v>
      </c>
    </row>
    <row r="37" spans="1:18" ht="24.95" customHeight="1" thickBot="1" x14ac:dyDescent="0.3">
      <c r="A37" s="2">
        <v>112</v>
      </c>
      <c r="B37" s="27" t="s">
        <v>112</v>
      </c>
      <c r="C37" s="12" t="s">
        <v>142</v>
      </c>
      <c r="D37" s="14">
        <v>8</v>
      </c>
      <c r="E37" s="14">
        <v>9</v>
      </c>
      <c r="F37" s="14">
        <v>8</v>
      </c>
      <c r="G37" s="14">
        <v>9</v>
      </c>
      <c r="H37" s="14">
        <v>7</v>
      </c>
      <c r="I37" s="14">
        <v>7</v>
      </c>
      <c r="J37" s="14">
        <v>5</v>
      </c>
      <c r="K37" s="14">
        <v>6</v>
      </c>
      <c r="L37" s="14">
        <v>6</v>
      </c>
      <c r="M37" s="14">
        <v>8</v>
      </c>
      <c r="N37" s="14">
        <v>8</v>
      </c>
      <c r="O37" s="14">
        <f>SUM(Tableau13[[#This Row],[Exercices d''obsevation]:[TIC]])</f>
        <v>81</v>
      </c>
      <c r="P37" s="26">
        <f>AVERAGE(Tableau13[[#This Row],[Exercices d''obsevation]:[TIC]])</f>
        <v>7.3636363636363633</v>
      </c>
      <c r="Q37" s="14">
        <f>RANK(Tableau13[[#This Row],[Moyenne]],Tableau13[Moyenne],0)</f>
        <v>33</v>
      </c>
      <c r="R37" s="28" t="str">
        <f>IF(Tableau13[[#This Row],[Moyenne]]&gt;=5,"Validé","Non Validé")</f>
        <v>Validé</v>
      </c>
    </row>
    <row r="38" spans="1:18" ht="24.95" customHeight="1" thickBot="1" x14ac:dyDescent="0.3">
      <c r="A38" s="2">
        <v>30</v>
      </c>
      <c r="B38" s="9" t="s">
        <v>107</v>
      </c>
      <c r="C38" s="12" t="s">
        <v>142</v>
      </c>
      <c r="D38" s="12">
        <v>10</v>
      </c>
      <c r="E38" s="12">
        <v>6</v>
      </c>
      <c r="F38" s="12">
        <v>8</v>
      </c>
      <c r="G38" s="12">
        <v>6</v>
      </c>
      <c r="H38" s="12">
        <v>9</v>
      </c>
      <c r="I38" s="12">
        <v>9</v>
      </c>
      <c r="J38" s="12">
        <v>4</v>
      </c>
      <c r="K38" s="12">
        <v>7</v>
      </c>
      <c r="L38" s="12">
        <v>5</v>
      </c>
      <c r="M38" s="12">
        <v>6</v>
      </c>
      <c r="N38" s="12">
        <v>10</v>
      </c>
      <c r="O38" s="14">
        <f>SUM(Tableau13[[#This Row],[Exercices d''obsevation]:[TIC]])</f>
        <v>80</v>
      </c>
      <c r="P38" s="26">
        <f>AVERAGE(Tableau13[[#This Row],[Exercices d''obsevation]:[TIC]])</f>
        <v>7.2727272727272725</v>
      </c>
      <c r="Q38" s="14">
        <f>RANK(Tableau13[[#This Row],[Moyenne]],Tableau13[Moyenne],0)</f>
        <v>37</v>
      </c>
      <c r="R38" s="28" t="str">
        <f>IF(Tableau13[[#This Row],[Moyenne]]&gt;=5,"Validé","Non Validé")</f>
        <v>Validé</v>
      </c>
    </row>
    <row r="39" spans="1:18" ht="24.95" customHeight="1" thickBot="1" x14ac:dyDescent="0.3">
      <c r="A39" s="2">
        <v>43</v>
      </c>
      <c r="B39" s="9" t="s">
        <v>23</v>
      </c>
      <c r="C39" s="12" t="s">
        <v>142</v>
      </c>
      <c r="D39" s="12">
        <v>8</v>
      </c>
      <c r="E39" s="12">
        <v>10</v>
      </c>
      <c r="F39" s="12">
        <v>7</v>
      </c>
      <c r="G39" s="12">
        <v>7</v>
      </c>
      <c r="H39" s="12">
        <v>6</v>
      </c>
      <c r="I39" s="12">
        <v>7</v>
      </c>
      <c r="J39" s="12">
        <v>4</v>
      </c>
      <c r="K39" s="12">
        <v>5</v>
      </c>
      <c r="L39" s="12">
        <v>7</v>
      </c>
      <c r="M39" s="12">
        <v>9</v>
      </c>
      <c r="N39" s="12">
        <v>10</v>
      </c>
      <c r="O39" s="14">
        <f>SUM(Tableau13[[#This Row],[Exercices d''obsevation]:[TIC]])</f>
        <v>80</v>
      </c>
      <c r="P39" s="26">
        <f>AVERAGE(Tableau13[[#This Row],[Exercices d''obsevation]:[TIC]])</f>
        <v>7.2727272727272725</v>
      </c>
      <c r="Q39" s="14">
        <f>RANK(Tableau13[[#This Row],[Moyenne]],Tableau13[Moyenne],0)</f>
        <v>37</v>
      </c>
      <c r="R39" s="28" t="str">
        <f>IF(Tableau13[[#This Row],[Moyenne]]&gt;=5,"Validé","Non Validé")</f>
        <v>Validé</v>
      </c>
    </row>
    <row r="40" spans="1:18" ht="24.95" customHeight="1" thickBot="1" x14ac:dyDescent="0.3">
      <c r="A40" s="2">
        <v>64</v>
      </c>
      <c r="B40" s="1" t="s">
        <v>15</v>
      </c>
      <c r="C40" s="44" t="s">
        <v>143</v>
      </c>
      <c r="D40" s="11">
        <v>8</v>
      </c>
      <c r="E40" s="11">
        <v>5</v>
      </c>
      <c r="F40" s="11">
        <v>7</v>
      </c>
      <c r="G40" s="11">
        <v>8</v>
      </c>
      <c r="H40" s="11">
        <v>8</v>
      </c>
      <c r="I40" s="11">
        <v>10</v>
      </c>
      <c r="J40" s="11">
        <v>4</v>
      </c>
      <c r="K40" s="11">
        <v>7</v>
      </c>
      <c r="L40" s="11">
        <v>7</v>
      </c>
      <c r="M40" s="11">
        <v>10</v>
      </c>
      <c r="N40" s="11">
        <v>6</v>
      </c>
      <c r="O40" s="11">
        <f>SUM(Tableau13[[#This Row],[Exercices d''obsevation]:[TIC]])</f>
        <v>80</v>
      </c>
      <c r="P40" s="25">
        <f>AVERAGE(Tableau13[[#This Row],[Exercices d''obsevation]:[TIC]])</f>
        <v>7.2727272727272725</v>
      </c>
      <c r="Q40" s="11">
        <f>RANK(Tableau13[[#This Row],[Moyenne]],Tableau13[Moyenne],0)</f>
        <v>37</v>
      </c>
      <c r="R40" s="43" t="str">
        <f>IF(Tableau13[[#This Row],[Moyenne]]&gt;=5,"Validé","Non Validé")</f>
        <v>Validé</v>
      </c>
    </row>
    <row r="41" spans="1:18" ht="38.25" customHeight="1" thickBot="1" x14ac:dyDescent="0.3">
      <c r="A41" s="2">
        <v>44</v>
      </c>
      <c r="B41" s="9" t="s">
        <v>9</v>
      </c>
      <c r="C41" s="12" t="s">
        <v>142</v>
      </c>
      <c r="D41" s="12">
        <v>7</v>
      </c>
      <c r="E41" s="12">
        <v>9</v>
      </c>
      <c r="F41" s="12">
        <v>8</v>
      </c>
      <c r="G41" s="12">
        <v>8</v>
      </c>
      <c r="H41" s="12">
        <v>8</v>
      </c>
      <c r="I41" s="12">
        <v>7</v>
      </c>
      <c r="J41" s="12">
        <v>3</v>
      </c>
      <c r="K41" s="12">
        <v>7</v>
      </c>
      <c r="L41" s="12">
        <v>5</v>
      </c>
      <c r="M41" s="12">
        <v>9</v>
      </c>
      <c r="N41" s="12">
        <v>8</v>
      </c>
      <c r="O41" s="14">
        <f>SUM(Tableau13[[#This Row],[Exercices d''obsevation]:[TIC]])</f>
        <v>79</v>
      </c>
      <c r="P41" s="26">
        <f>AVERAGE(Tableau13[[#This Row],[Exercices d''obsevation]:[TIC]])</f>
        <v>7.1818181818181817</v>
      </c>
      <c r="Q41" s="14">
        <f>RANK(Tableau13[[#This Row],[Moyenne]],Tableau13[Moyenne],0)</f>
        <v>40</v>
      </c>
      <c r="R41" s="28" t="str">
        <f>IF(Tableau13[[#This Row],[Moyenne]]&gt;=5,"Validé","Non Validé")</f>
        <v>Validé</v>
      </c>
    </row>
    <row r="42" spans="1:18" ht="24.95" customHeight="1" thickBot="1" x14ac:dyDescent="0.3">
      <c r="A42" s="2">
        <v>10</v>
      </c>
      <c r="B42" s="1" t="s">
        <v>13</v>
      </c>
      <c r="C42" s="44" t="s">
        <v>143</v>
      </c>
      <c r="D42" s="11">
        <v>10</v>
      </c>
      <c r="E42" s="11">
        <v>6</v>
      </c>
      <c r="F42" s="11">
        <v>8</v>
      </c>
      <c r="G42" s="11">
        <v>10</v>
      </c>
      <c r="H42" s="11">
        <v>8</v>
      </c>
      <c r="I42" s="11">
        <v>9</v>
      </c>
      <c r="J42" s="11">
        <v>3</v>
      </c>
      <c r="K42" s="11">
        <v>9</v>
      </c>
      <c r="L42" s="11">
        <v>3</v>
      </c>
      <c r="M42" s="11">
        <v>8</v>
      </c>
      <c r="N42" s="11">
        <v>4</v>
      </c>
      <c r="O42" s="11">
        <f>SUM(Tableau13[[#This Row],[Exercices d''obsevation]:[TIC]])</f>
        <v>78</v>
      </c>
      <c r="P42" s="25">
        <f>AVERAGE(Tableau13[[#This Row],[Exercices d''obsevation]:[TIC]])</f>
        <v>7.0909090909090908</v>
      </c>
      <c r="Q42" s="11">
        <f>RANK(Tableau13[[#This Row],[Moyenne]],Tableau13[Moyenne],0)</f>
        <v>41</v>
      </c>
      <c r="R42" s="43" t="str">
        <f>IF(Tableau13[[#This Row],[Moyenne]]&gt;=5,"Validé","Non Validé")</f>
        <v>Validé</v>
      </c>
    </row>
    <row r="43" spans="1:18" ht="24.95" customHeight="1" thickBot="1" x14ac:dyDescent="0.3">
      <c r="A43" s="2">
        <v>46</v>
      </c>
      <c r="B43" s="27" t="s">
        <v>114</v>
      </c>
      <c r="C43" s="12" t="s">
        <v>142</v>
      </c>
      <c r="D43" s="14">
        <v>8</v>
      </c>
      <c r="E43" s="14">
        <v>10</v>
      </c>
      <c r="F43" s="14">
        <v>8</v>
      </c>
      <c r="G43" s="14">
        <v>8</v>
      </c>
      <c r="H43" s="14">
        <v>8</v>
      </c>
      <c r="I43" s="14">
        <v>8</v>
      </c>
      <c r="J43" s="14">
        <v>1</v>
      </c>
      <c r="K43" s="14">
        <v>4</v>
      </c>
      <c r="L43" s="14">
        <v>5</v>
      </c>
      <c r="M43" s="14">
        <v>8</v>
      </c>
      <c r="N43" s="14">
        <v>10</v>
      </c>
      <c r="O43" s="14">
        <f>SUM(Tableau13[[#This Row],[Exercices d''obsevation]:[TIC]])</f>
        <v>78</v>
      </c>
      <c r="P43" s="26">
        <f>AVERAGE(Tableau13[[#This Row],[Exercices d''obsevation]:[TIC]])</f>
        <v>7.0909090909090908</v>
      </c>
      <c r="Q43" s="14">
        <f>RANK(Tableau13[[#This Row],[Moyenne]],Tableau13[Moyenne],0)</f>
        <v>41</v>
      </c>
      <c r="R43" s="28" t="str">
        <f>IF(Tableau13[[#This Row],[Moyenne]]&gt;=5,"Validé","Non Validé")</f>
        <v>Validé</v>
      </c>
    </row>
    <row r="44" spans="1:18" ht="24.95" customHeight="1" thickBot="1" x14ac:dyDescent="0.3">
      <c r="A44" s="2">
        <v>47</v>
      </c>
      <c r="B44" s="9" t="s">
        <v>10</v>
      </c>
      <c r="C44" s="12" t="s">
        <v>142</v>
      </c>
      <c r="D44" s="12">
        <v>6</v>
      </c>
      <c r="E44" s="12">
        <v>10</v>
      </c>
      <c r="F44" s="12">
        <v>8</v>
      </c>
      <c r="G44" s="12">
        <v>8</v>
      </c>
      <c r="H44" s="12">
        <v>6</v>
      </c>
      <c r="I44" s="12">
        <v>6</v>
      </c>
      <c r="J44" s="12">
        <v>5</v>
      </c>
      <c r="K44" s="12">
        <v>7</v>
      </c>
      <c r="L44" s="12">
        <v>5</v>
      </c>
      <c r="M44" s="12">
        <v>7</v>
      </c>
      <c r="N44" s="12">
        <v>10</v>
      </c>
      <c r="O44" s="14">
        <f>SUM(Tableau13[[#This Row],[Exercices d''obsevation]:[TIC]])</f>
        <v>78</v>
      </c>
      <c r="P44" s="26">
        <f>AVERAGE(Tableau13[[#This Row],[Exercices d''obsevation]:[TIC]])</f>
        <v>7.0909090909090908</v>
      </c>
      <c r="Q44" s="14">
        <f>RANK(Tableau13[[#This Row],[Moyenne]],Tableau13[Moyenne],0)</f>
        <v>41</v>
      </c>
      <c r="R44" s="28" t="str">
        <f>IF(Tableau13[[#This Row],[Moyenne]]&gt;=5,"Validé","Non Validé")</f>
        <v>Validé</v>
      </c>
    </row>
    <row r="45" spans="1:18" ht="24.95" customHeight="1" thickBot="1" x14ac:dyDescent="0.3">
      <c r="A45" s="2">
        <v>71</v>
      </c>
      <c r="B45" s="9" t="s">
        <v>77</v>
      </c>
      <c r="C45" s="12" t="s">
        <v>142</v>
      </c>
      <c r="D45" s="12">
        <v>8</v>
      </c>
      <c r="E45" s="12">
        <v>7</v>
      </c>
      <c r="F45" s="12">
        <v>7</v>
      </c>
      <c r="G45" s="12">
        <v>4</v>
      </c>
      <c r="H45" s="12">
        <v>8</v>
      </c>
      <c r="I45" s="12">
        <v>10</v>
      </c>
      <c r="J45" s="12">
        <v>3</v>
      </c>
      <c r="K45" s="12">
        <v>6</v>
      </c>
      <c r="L45" s="12">
        <v>8</v>
      </c>
      <c r="M45" s="12">
        <v>7</v>
      </c>
      <c r="N45" s="12">
        <v>10</v>
      </c>
      <c r="O45" s="14">
        <f>SUM(Tableau13[[#This Row],[Exercices d''obsevation]:[TIC]])</f>
        <v>78</v>
      </c>
      <c r="P45" s="26">
        <f>AVERAGE(Tableau13[[#This Row],[Exercices d''obsevation]:[TIC]])</f>
        <v>7.0909090909090908</v>
      </c>
      <c r="Q45" s="14">
        <f>RANK(Tableau13[[#This Row],[Moyenne]],Tableau13[Moyenne],0)</f>
        <v>41</v>
      </c>
      <c r="R45" s="28" t="str">
        <f>IF(Tableau13[[#This Row],[Moyenne]]&gt;=5,"Validé","Non Validé")</f>
        <v>Validé</v>
      </c>
    </row>
    <row r="46" spans="1:18" ht="24.95" customHeight="1" thickBot="1" x14ac:dyDescent="0.3">
      <c r="A46" s="2">
        <v>77</v>
      </c>
      <c r="B46" s="9" t="s">
        <v>20</v>
      </c>
      <c r="C46" s="12" t="s">
        <v>142</v>
      </c>
      <c r="D46" s="12">
        <v>6</v>
      </c>
      <c r="E46" s="12">
        <v>10</v>
      </c>
      <c r="F46" s="12">
        <v>8</v>
      </c>
      <c r="G46" s="12">
        <v>9</v>
      </c>
      <c r="H46" s="12">
        <v>7</v>
      </c>
      <c r="I46" s="12">
        <v>9</v>
      </c>
      <c r="J46" s="12">
        <v>5</v>
      </c>
      <c r="K46" s="12">
        <v>5</v>
      </c>
      <c r="L46" s="12">
        <v>2</v>
      </c>
      <c r="M46" s="12">
        <v>10</v>
      </c>
      <c r="N46" s="12">
        <v>6</v>
      </c>
      <c r="O46" s="14">
        <f>SUM(Tableau13[[#This Row],[Exercices d''obsevation]:[TIC]])</f>
        <v>77</v>
      </c>
      <c r="P46" s="26">
        <f>AVERAGE(Tableau13[[#This Row],[Exercices d''obsevation]:[TIC]])</f>
        <v>7</v>
      </c>
      <c r="Q46" s="14">
        <f>RANK(Tableau13[[#This Row],[Moyenne]],Tableau13[Moyenne],0)</f>
        <v>45</v>
      </c>
      <c r="R46" s="28" t="str">
        <f>IF(Tableau13[[#This Row],[Moyenne]]&gt;=5,"Validé","Non Validé")</f>
        <v>Validé</v>
      </c>
    </row>
    <row r="47" spans="1:18" ht="24.95" customHeight="1" thickBot="1" x14ac:dyDescent="0.3">
      <c r="A47" s="2">
        <v>93</v>
      </c>
      <c r="B47" s="9" t="s">
        <v>54</v>
      </c>
      <c r="C47" s="12" t="s">
        <v>142</v>
      </c>
      <c r="D47" s="12">
        <v>10</v>
      </c>
      <c r="E47" s="12">
        <v>8</v>
      </c>
      <c r="F47" s="12">
        <v>8</v>
      </c>
      <c r="G47" s="12">
        <v>6</v>
      </c>
      <c r="H47" s="12">
        <v>8</v>
      </c>
      <c r="I47" s="12">
        <v>9</v>
      </c>
      <c r="J47" s="12">
        <v>4</v>
      </c>
      <c r="K47" s="12">
        <v>5</v>
      </c>
      <c r="L47" s="12">
        <v>5</v>
      </c>
      <c r="M47" s="12">
        <v>8</v>
      </c>
      <c r="N47" s="12">
        <v>6</v>
      </c>
      <c r="O47" s="14">
        <f>SUM(Tableau13[[#This Row],[Exercices d''obsevation]:[TIC]])</f>
        <v>77</v>
      </c>
      <c r="P47" s="26">
        <f>AVERAGE(Tableau13[[#This Row],[Exercices d''obsevation]:[TIC]])</f>
        <v>7</v>
      </c>
      <c r="Q47" s="14">
        <f>RANK(Tableau13[[#This Row],[Moyenne]],Tableau13[Moyenne],0)</f>
        <v>45</v>
      </c>
      <c r="R47" s="28" t="str">
        <f>IF(Tableau13[[#This Row],[Moyenne]]&gt;=5,"Validé","Non Validé")</f>
        <v>Validé</v>
      </c>
    </row>
    <row r="48" spans="1:18" ht="24.95" customHeight="1" thickBot="1" x14ac:dyDescent="0.3">
      <c r="A48" s="2">
        <v>82</v>
      </c>
      <c r="B48" s="1" t="s">
        <v>48</v>
      </c>
      <c r="C48" s="44" t="s">
        <v>143</v>
      </c>
      <c r="D48" s="11">
        <v>7</v>
      </c>
      <c r="E48" s="11">
        <v>7</v>
      </c>
      <c r="F48" s="11">
        <v>9</v>
      </c>
      <c r="G48" s="11">
        <v>7</v>
      </c>
      <c r="H48" s="11">
        <v>6</v>
      </c>
      <c r="I48" s="11">
        <v>8</v>
      </c>
      <c r="J48" s="11">
        <v>5</v>
      </c>
      <c r="K48" s="11">
        <v>5</v>
      </c>
      <c r="L48" s="11">
        <v>6</v>
      </c>
      <c r="M48" s="11">
        <v>9</v>
      </c>
      <c r="N48" s="11">
        <v>7</v>
      </c>
      <c r="O48" s="11">
        <f>SUM(Tableau13[[#This Row],[Exercices d''obsevation]:[TIC]])</f>
        <v>76</v>
      </c>
      <c r="P48" s="25">
        <f>AVERAGE(Tableau13[[#This Row],[Exercices d''obsevation]:[TIC]])</f>
        <v>6.9090909090909092</v>
      </c>
      <c r="Q48" s="11">
        <f>RANK(Tableau13[[#This Row],[Moyenne]],Tableau13[Moyenne],0)</f>
        <v>47</v>
      </c>
      <c r="R48" s="43" t="str">
        <f>IF(Tableau13[[#This Row],[Moyenne]]&gt;=5,"Validé","Non Validé")</f>
        <v>Validé</v>
      </c>
    </row>
    <row r="49" spans="1:18" ht="24.95" customHeight="1" thickBot="1" x14ac:dyDescent="0.3">
      <c r="A49" s="2">
        <v>92</v>
      </c>
      <c r="B49" s="1" t="s">
        <v>133</v>
      </c>
      <c r="C49" s="44" t="s">
        <v>143</v>
      </c>
      <c r="D49" s="11">
        <v>8</v>
      </c>
      <c r="E49" s="11">
        <v>8</v>
      </c>
      <c r="F49" s="11">
        <v>9</v>
      </c>
      <c r="G49" s="11">
        <v>8</v>
      </c>
      <c r="H49" s="11">
        <v>7</v>
      </c>
      <c r="I49" s="11">
        <v>6</v>
      </c>
      <c r="J49" s="11">
        <v>4</v>
      </c>
      <c r="K49" s="11">
        <v>5</v>
      </c>
      <c r="L49" s="11">
        <v>4</v>
      </c>
      <c r="M49" s="11">
        <v>9</v>
      </c>
      <c r="N49" s="11">
        <v>8</v>
      </c>
      <c r="O49" s="11">
        <f>SUM(Tableau13[[#This Row],[Exercices d''obsevation]:[TIC]])</f>
        <v>76</v>
      </c>
      <c r="P49" s="25">
        <f>AVERAGE(Tableau13[[#This Row],[Exercices d''obsevation]:[TIC]])</f>
        <v>6.9090909090909092</v>
      </c>
      <c r="Q49" s="11">
        <f>RANK(Tableau13[[#This Row],[Moyenne]],Tableau13[Moyenne],0)</f>
        <v>47</v>
      </c>
      <c r="R49" s="43" t="str">
        <f>IF(Tableau13[[#This Row],[Moyenne]]&gt;=5,"Validé","Non Validé")</f>
        <v>Validé</v>
      </c>
    </row>
    <row r="50" spans="1:18" ht="24.95" customHeight="1" thickBot="1" x14ac:dyDescent="0.3">
      <c r="A50" s="2">
        <v>115</v>
      </c>
      <c r="B50" s="1" t="s">
        <v>34</v>
      </c>
      <c r="C50" s="44" t="s">
        <v>143</v>
      </c>
      <c r="D50" s="11">
        <v>10</v>
      </c>
      <c r="E50" s="11">
        <v>8</v>
      </c>
      <c r="F50" s="11">
        <v>9</v>
      </c>
      <c r="G50" s="11">
        <v>8</v>
      </c>
      <c r="H50" s="11">
        <v>7</v>
      </c>
      <c r="I50" s="11">
        <v>7</v>
      </c>
      <c r="J50" s="11">
        <v>1</v>
      </c>
      <c r="K50" s="11">
        <v>6</v>
      </c>
      <c r="L50" s="11">
        <v>4</v>
      </c>
      <c r="M50" s="11">
        <v>8</v>
      </c>
      <c r="N50" s="11">
        <v>8</v>
      </c>
      <c r="O50" s="11">
        <f>SUM(Tableau13[[#This Row],[Exercices d''obsevation]:[TIC]])</f>
        <v>76</v>
      </c>
      <c r="P50" s="25">
        <f>AVERAGE(Tableau13[[#This Row],[Exercices d''obsevation]:[TIC]])</f>
        <v>6.9090909090909092</v>
      </c>
      <c r="Q50" s="11">
        <f>RANK(Tableau13[[#This Row],[Moyenne]],Tableau13[Moyenne],0)</f>
        <v>47</v>
      </c>
      <c r="R50" s="43" t="str">
        <f>IF(Tableau13[[#This Row],[Moyenne]]&gt;=5,"Validé","Non Validé")</f>
        <v>Validé</v>
      </c>
    </row>
    <row r="51" spans="1:18" ht="24.95" customHeight="1" thickBot="1" x14ac:dyDescent="0.3">
      <c r="A51" s="2">
        <v>34</v>
      </c>
      <c r="B51" s="9" t="s">
        <v>26</v>
      </c>
      <c r="C51" s="12" t="s">
        <v>142</v>
      </c>
      <c r="D51" s="12">
        <v>8</v>
      </c>
      <c r="E51" s="12">
        <v>10</v>
      </c>
      <c r="F51" s="12">
        <v>7</v>
      </c>
      <c r="G51" s="12">
        <v>8</v>
      </c>
      <c r="H51" s="12">
        <v>8</v>
      </c>
      <c r="I51" s="12">
        <v>8</v>
      </c>
      <c r="J51" s="12">
        <v>4</v>
      </c>
      <c r="K51" s="12">
        <v>6</v>
      </c>
      <c r="L51" s="12">
        <v>1</v>
      </c>
      <c r="M51" s="12">
        <v>7</v>
      </c>
      <c r="N51" s="12">
        <v>8</v>
      </c>
      <c r="O51" s="14">
        <f>SUM(Tableau13[[#This Row],[Exercices d''obsevation]:[TIC]])</f>
        <v>75</v>
      </c>
      <c r="P51" s="26">
        <f>AVERAGE(Tableau13[[#This Row],[Exercices d''obsevation]:[TIC]])</f>
        <v>6.8181818181818183</v>
      </c>
      <c r="Q51" s="14">
        <f>RANK(Tableau13[[#This Row],[Moyenne]],Tableau13[Moyenne],0)</f>
        <v>50</v>
      </c>
      <c r="R51" s="28" t="str">
        <f>IF(Tableau13[[#This Row],[Moyenne]]&gt;=5,"Validé","Non Validé")</f>
        <v>Validé</v>
      </c>
    </row>
    <row r="52" spans="1:18" s="21" customFormat="1" ht="24.95" customHeight="1" thickBot="1" x14ac:dyDescent="0.3">
      <c r="A52" s="2">
        <v>15</v>
      </c>
      <c r="B52" s="9" t="s">
        <v>47</v>
      </c>
      <c r="C52" s="12" t="s">
        <v>142</v>
      </c>
      <c r="D52" s="12">
        <v>8</v>
      </c>
      <c r="E52" s="12">
        <v>7</v>
      </c>
      <c r="F52" s="12">
        <v>8</v>
      </c>
      <c r="G52" s="12">
        <v>7</v>
      </c>
      <c r="H52" s="12">
        <v>5</v>
      </c>
      <c r="I52" s="12">
        <v>4</v>
      </c>
      <c r="J52" s="12">
        <v>3</v>
      </c>
      <c r="K52" s="12">
        <v>7</v>
      </c>
      <c r="L52" s="12">
        <v>7</v>
      </c>
      <c r="M52" s="12">
        <v>8</v>
      </c>
      <c r="N52" s="12">
        <v>10</v>
      </c>
      <c r="O52" s="14">
        <f>SUM(Tableau13[[#This Row],[Exercices d''obsevation]:[TIC]])</f>
        <v>74</v>
      </c>
      <c r="P52" s="26">
        <f>AVERAGE(Tableau13[[#This Row],[Exercices d''obsevation]:[TIC]])</f>
        <v>6.7272727272727275</v>
      </c>
      <c r="Q52" s="14">
        <f>RANK(Tableau13[[#This Row],[Moyenne]],Tableau13[Moyenne],0)</f>
        <v>51</v>
      </c>
      <c r="R52" s="28" t="str">
        <f>IF(Tableau13[[#This Row],[Moyenne]]&gt;=5,"Validé","Non Validé")</f>
        <v>Validé</v>
      </c>
    </row>
    <row r="53" spans="1:18" ht="24.95" customHeight="1" thickBot="1" x14ac:dyDescent="0.3">
      <c r="A53" s="2">
        <v>31</v>
      </c>
      <c r="B53" s="1" t="s">
        <v>115</v>
      </c>
      <c r="C53" s="44" t="s">
        <v>143</v>
      </c>
      <c r="D53" s="11">
        <v>7</v>
      </c>
      <c r="E53" s="11">
        <v>10</v>
      </c>
      <c r="F53" s="11">
        <v>8</v>
      </c>
      <c r="G53" s="11">
        <v>7</v>
      </c>
      <c r="H53" s="11">
        <v>7</v>
      </c>
      <c r="I53" s="11">
        <v>6</v>
      </c>
      <c r="J53" s="11">
        <v>5</v>
      </c>
      <c r="K53" s="11">
        <v>7</v>
      </c>
      <c r="L53" s="11">
        <v>0</v>
      </c>
      <c r="M53" s="11">
        <v>7</v>
      </c>
      <c r="N53" s="11">
        <v>10</v>
      </c>
      <c r="O53" s="11">
        <f>SUM(Tableau13[[#This Row],[Exercices d''obsevation]:[TIC]])</f>
        <v>74</v>
      </c>
      <c r="P53" s="25">
        <f>AVERAGE(Tableau13[[#This Row],[Exercices d''obsevation]:[TIC]])</f>
        <v>6.7272727272727275</v>
      </c>
      <c r="Q53" s="11">
        <f>RANK(Tableau13[[#This Row],[Moyenne]],Tableau13[Moyenne],0)</f>
        <v>51</v>
      </c>
      <c r="R53" s="43" t="str">
        <f>IF(Tableau13[[#This Row],[Moyenne]]&gt;=5,"Validé","Non Validé")</f>
        <v>Validé</v>
      </c>
    </row>
    <row r="54" spans="1:18" ht="33.75" customHeight="1" thickBot="1" x14ac:dyDescent="0.3">
      <c r="A54" s="2">
        <v>32</v>
      </c>
      <c r="B54" s="9" t="s">
        <v>74</v>
      </c>
      <c r="C54" s="12" t="s">
        <v>142</v>
      </c>
      <c r="D54" s="12">
        <v>7</v>
      </c>
      <c r="E54" s="12">
        <v>8</v>
      </c>
      <c r="F54" s="12">
        <v>8</v>
      </c>
      <c r="G54" s="12">
        <v>8</v>
      </c>
      <c r="H54" s="12">
        <v>6</v>
      </c>
      <c r="I54" s="12">
        <v>10</v>
      </c>
      <c r="J54" s="12">
        <v>2</v>
      </c>
      <c r="K54" s="12">
        <v>6</v>
      </c>
      <c r="L54" s="12">
        <v>5</v>
      </c>
      <c r="M54" s="12">
        <v>6</v>
      </c>
      <c r="N54" s="12">
        <v>8</v>
      </c>
      <c r="O54" s="14">
        <f>SUM(Tableau13[[#This Row],[Exercices d''obsevation]:[TIC]])</f>
        <v>74</v>
      </c>
      <c r="P54" s="26">
        <f>AVERAGE(Tableau13[[#This Row],[Exercices d''obsevation]:[TIC]])</f>
        <v>6.7272727272727275</v>
      </c>
      <c r="Q54" s="14">
        <f>RANK(Tableau13[[#This Row],[Moyenne]],Tableau13[Moyenne],0)</f>
        <v>51</v>
      </c>
      <c r="R54" s="28" t="str">
        <f>IF(Tableau13[[#This Row],[Moyenne]]&gt;=5,"Validé","Non Validé")</f>
        <v>Validé</v>
      </c>
    </row>
    <row r="55" spans="1:18" ht="24.95" customHeight="1" thickBot="1" x14ac:dyDescent="0.3">
      <c r="A55" s="2">
        <v>39</v>
      </c>
      <c r="B55" s="1" t="s">
        <v>67</v>
      </c>
      <c r="C55" s="44" t="s">
        <v>143</v>
      </c>
      <c r="D55" s="11">
        <v>7</v>
      </c>
      <c r="E55" s="11">
        <v>10</v>
      </c>
      <c r="F55" s="11">
        <v>8</v>
      </c>
      <c r="G55" s="11">
        <v>5</v>
      </c>
      <c r="H55" s="11">
        <v>6</v>
      </c>
      <c r="I55" s="11">
        <v>8</v>
      </c>
      <c r="J55" s="11">
        <v>0</v>
      </c>
      <c r="K55" s="11">
        <v>7</v>
      </c>
      <c r="L55" s="11">
        <v>6</v>
      </c>
      <c r="M55" s="11">
        <v>9</v>
      </c>
      <c r="N55" s="11">
        <v>8</v>
      </c>
      <c r="O55" s="11">
        <f>SUM(Tableau13[[#This Row],[Exercices d''obsevation]:[TIC]])</f>
        <v>74</v>
      </c>
      <c r="P55" s="25">
        <f>AVERAGE(Tableau13[[#This Row],[Exercices d''obsevation]:[TIC]])</f>
        <v>6.7272727272727275</v>
      </c>
      <c r="Q55" s="11">
        <f>RANK(Tableau13[[#This Row],[Moyenne]],Tableau13[Moyenne],0)</f>
        <v>51</v>
      </c>
      <c r="R55" s="43" t="str">
        <f>IF(Tableau13[[#This Row],[Moyenne]]&gt;=5,"Validé","Non Validé")</f>
        <v>Validé</v>
      </c>
    </row>
    <row r="56" spans="1:18" ht="24.95" customHeight="1" thickBot="1" x14ac:dyDescent="0.3">
      <c r="A56" s="2">
        <v>60</v>
      </c>
      <c r="B56" s="1" t="s">
        <v>63</v>
      </c>
      <c r="C56" s="44" t="s">
        <v>143</v>
      </c>
      <c r="D56" s="11">
        <v>8</v>
      </c>
      <c r="E56" s="11">
        <v>9</v>
      </c>
      <c r="F56" s="11">
        <v>8</v>
      </c>
      <c r="G56" s="11">
        <v>7</v>
      </c>
      <c r="H56" s="11">
        <v>6</v>
      </c>
      <c r="I56" s="11">
        <v>8</v>
      </c>
      <c r="J56" s="11">
        <v>0</v>
      </c>
      <c r="K56" s="11">
        <v>7</v>
      </c>
      <c r="L56" s="11">
        <v>5</v>
      </c>
      <c r="M56" s="11">
        <v>6</v>
      </c>
      <c r="N56" s="11">
        <v>10</v>
      </c>
      <c r="O56" s="11">
        <f>SUM(Tableau13[[#This Row],[Exercices d''obsevation]:[TIC]])</f>
        <v>74</v>
      </c>
      <c r="P56" s="25">
        <f>AVERAGE(Tableau13[[#This Row],[Exercices d''obsevation]:[TIC]])</f>
        <v>6.7272727272727275</v>
      </c>
      <c r="Q56" s="11">
        <f>RANK(Tableau13[[#This Row],[Moyenne]],Tableau13[Moyenne],0)</f>
        <v>51</v>
      </c>
      <c r="R56" s="43" t="str">
        <f>IF(Tableau13[[#This Row],[Moyenne]]&gt;=5,"Validé","Non Validé")</f>
        <v>Validé</v>
      </c>
    </row>
    <row r="57" spans="1:18" ht="24.95" customHeight="1" thickBot="1" x14ac:dyDescent="0.3">
      <c r="A57" s="2">
        <v>91</v>
      </c>
      <c r="B57" s="1" t="s">
        <v>132</v>
      </c>
      <c r="C57" s="44" t="s">
        <v>143</v>
      </c>
      <c r="D57" s="11">
        <v>6</v>
      </c>
      <c r="E57" s="11">
        <v>7</v>
      </c>
      <c r="F57" s="11">
        <v>7</v>
      </c>
      <c r="G57" s="11">
        <v>3</v>
      </c>
      <c r="H57" s="11">
        <v>8</v>
      </c>
      <c r="I57" s="11">
        <v>10</v>
      </c>
      <c r="J57" s="11">
        <v>1</v>
      </c>
      <c r="K57" s="11">
        <v>9</v>
      </c>
      <c r="L57" s="11">
        <v>6</v>
      </c>
      <c r="M57" s="11">
        <v>9</v>
      </c>
      <c r="N57" s="11">
        <v>8</v>
      </c>
      <c r="O57" s="11">
        <f>SUM(Tableau13[[#This Row],[Exercices d''obsevation]:[TIC]])</f>
        <v>74</v>
      </c>
      <c r="P57" s="25">
        <f>AVERAGE(Tableau13[[#This Row],[Exercices d''obsevation]:[TIC]])</f>
        <v>6.7272727272727275</v>
      </c>
      <c r="Q57" s="11">
        <f>RANK(Tableau13[[#This Row],[Moyenne]],Tableau13[Moyenne],0)</f>
        <v>51</v>
      </c>
      <c r="R57" s="43" t="str">
        <f>IF(Tableau13[[#This Row],[Moyenne]]&gt;=5,"Validé","Non Validé")</f>
        <v>Validé</v>
      </c>
    </row>
    <row r="58" spans="1:18" ht="24.95" customHeight="1" thickBot="1" x14ac:dyDescent="0.3">
      <c r="A58" s="2">
        <v>6</v>
      </c>
      <c r="B58" s="1" t="s">
        <v>56</v>
      </c>
      <c r="C58" s="44" t="s">
        <v>143</v>
      </c>
      <c r="D58" s="11">
        <v>8</v>
      </c>
      <c r="E58" s="11">
        <v>6</v>
      </c>
      <c r="F58" s="11">
        <v>8</v>
      </c>
      <c r="G58" s="11">
        <v>7</v>
      </c>
      <c r="H58" s="11">
        <v>6</v>
      </c>
      <c r="I58" s="11">
        <v>7</v>
      </c>
      <c r="J58" s="11">
        <v>4</v>
      </c>
      <c r="K58" s="11">
        <v>6</v>
      </c>
      <c r="L58" s="11">
        <v>5</v>
      </c>
      <c r="M58" s="11">
        <v>8</v>
      </c>
      <c r="N58" s="11">
        <v>8</v>
      </c>
      <c r="O58" s="11">
        <f>SUM(Tableau13[[#This Row],[Exercices d''obsevation]:[TIC]])</f>
        <v>73</v>
      </c>
      <c r="P58" s="25">
        <f>AVERAGE(Tableau13[[#This Row],[Exercices d''obsevation]:[TIC]])</f>
        <v>6.6363636363636367</v>
      </c>
      <c r="Q58" s="11">
        <f>RANK(Tableau13[[#This Row],[Moyenne]],Tableau13[Moyenne],0)</f>
        <v>57</v>
      </c>
      <c r="R58" s="43" t="str">
        <f>IF(Tableau13[[#This Row],[Moyenne]]&gt;=5,"Validé","Non Validé")</f>
        <v>Validé</v>
      </c>
    </row>
    <row r="59" spans="1:18" ht="24.95" customHeight="1" thickBot="1" x14ac:dyDescent="0.3">
      <c r="A59" s="2">
        <v>36</v>
      </c>
      <c r="B59" s="27" t="s">
        <v>126</v>
      </c>
      <c r="C59" s="12" t="s">
        <v>142</v>
      </c>
      <c r="D59" s="14">
        <v>6</v>
      </c>
      <c r="E59" s="14">
        <v>10</v>
      </c>
      <c r="F59" s="14">
        <v>8</v>
      </c>
      <c r="G59" s="14">
        <v>5</v>
      </c>
      <c r="H59" s="14">
        <v>7</v>
      </c>
      <c r="I59" s="14">
        <v>6</v>
      </c>
      <c r="J59" s="14">
        <v>5</v>
      </c>
      <c r="K59" s="14">
        <v>7</v>
      </c>
      <c r="L59" s="14">
        <v>4</v>
      </c>
      <c r="M59" s="14">
        <v>7</v>
      </c>
      <c r="N59" s="14">
        <v>8</v>
      </c>
      <c r="O59" s="14">
        <f>SUM(Tableau13[[#This Row],[Exercices d''obsevation]:[TIC]])</f>
        <v>73</v>
      </c>
      <c r="P59" s="26">
        <f>AVERAGE(Tableau13[[#This Row],[Exercices d''obsevation]:[TIC]])</f>
        <v>6.6363636363636367</v>
      </c>
      <c r="Q59" s="14">
        <f>RANK(Tableau13[[#This Row],[Moyenne]],Tableau13[Moyenne],0)</f>
        <v>57</v>
      </c>
      <c r="R59" s="28" t="str">
        <f>IF(Tableau13[[#This Row],[Moyenne]]&gt;=5,"Validé","Non Validé")</f>
        <v>Validé</v>
      </c>
    </row>
    <row r="60" spans="1:18" ht="24.95" customHeight="1" thickBot="1" x14ac:dyDescent="0.3">
      <c r="A60" s="2">
        <v>38</v>
      </c>
      <c r="B60" s="1" t="s">
        <v>128</v>
      </c>
      <c r="C60" s="44" t="s">
        <v>143</v>
      </c>
      <c r="D60" s="11">
        <v>7</v>
      </c>
      <c r="E60" s="11">
        <v>8</v>
      </c>
      <c r="F60" s="11">
        <v>8</v>
      </c>
      <c r="G60" s="11">
        <v>5</v>
      </c>
      <c r="H60" s="11">
        <v>7</v>
      </c>
      <c r="I60" s="11">
        <v>7</v>
      </c>
      <c r="J60" s="11">
        <v>3</v>
      </c>
      <c r="K60" s="11">
        <v>8</v>
      </c>
      <c r="L60" s="11">
        <v>5</v>
      </c>
      <c r="M60" s="11">
        <v>8</v>
      </c>
      <c r="N60" s="11">
        <v>6</v>
      </c>
      <c r="O60" s="11">
        <f>SUM(Tableau13[[#This Row],[Exercices d''obsevation]:[TIC]])</f>
        <v>72</v>
      </c>
      <c r="P60" s="25">
        <f>AVERAGE(Tableau13[[#This Row],[Exercices d''obsevation]:[TIC]])</f>
        <v>6.5454545454545459</v>
      </c>
      <c r="Q60" s="11">
        <f>RANK(Tableau13[[#This Row],[Moyenne]],Tableau13[Moyenne],0)</f>
        <v>59</v>
      </c>
      <c r="R60" s="43" t="str">
        <f>IF(Tableau13[[#This Row],[Moyenne]]&gt;=5,"Validé","Non Validé")</f>
        <v>Validé</v>
      </c>
    </row>
    <row r="61" spans="1:18" ht="24.95" customHeight="1" thickBot="1" x14ac:dyDescent="0.3">
      <c r="A61" s="2">
        <v>54</v>
      </c>
      <c r="B61" s="27" t="s">
        <v>119</v>
      </c>
      <c r="C61" s="12" t="s">
        <v>142</v>
      </c>
      <c r="D61" s="14">
        <v>8</v>
      </c>
      <c r="E61" s="14">
        <v>10</v>
      </c>
      <c r="F61" s="14">
        <v>8</v>
      </c>
      <c r="G61" s="14">
        <v>3</v>
      </c>
      <c r="H61" s="14">
        <v>8</v>
      </c>
      <c r="I61" s="14">
        <v>10</v>
      </c>
      <c r="J61" s="14">
        <v>0</v>
      </c>
      <c r="K61" s="14">
        <v>8</v>
      </c>
      <c r="L61" s="14">
        <v>2</v>
      </c>
      <c r="M61" s="14">
        <v>7</v>
      </c>
      <c r="N61" s="14">
        <v>8</v>
      </c>
      <c r="O61" s="14">
        <f>SUM(Tableau13[[#This Row],[Exercices d''obsevation]:[TIC]])</f>
        <v>72</v>
      </c>
      <c r="P61" s="26">
        <f>AVERAGE(Tableau13[[#This Row],[Exercices d''obsevation]:[TIC]])</f>
        <v>6.5454545454545459</v>
      </c>
      <c r="Q61" s="14">
        <f>RANK(Tableau13[[#This Row],[Moyenne]],Tableau13[Moyenne],0)</f>
        <v>59</v>
      </c>
      <c r="R61" s="28" t="str">
        <f>IF(Tableau13[[#This Row],[Moyenne]]&gt;=5,"Validé","Non Validé")</f>
        <v>Validé</v>
      </c>
    </row>
    <row r="62" spans="1:18" ht="24.95" customHeight="1" thickBot="1" x14ac:dyDescent="0.3">
      <c r="A62" s="2">
        <v>70</v>
      </c>
      <c r="B62" s="9" t="s">
        <v>65</v>
      </c>
      <c r="C62" s="12" t="s">
        <v>142</v>
      </c>
      <c r="D62" s="12">
        <v>6</v>
      </c>
      <c r="E62" s="12">
        <v>7</v>
      </c>
      <c r="F62" s="12">
        <v>7</v>
      </c>
      <c r="G62" s="12">
        <v>6</v>
      </c>
      <c r="H62" s="12">
        <v>8</v>
      </c>
      <c r="I62" s="12">
        <v>7</v>
      </c>
      <c r="J62" s="12">
        <v>0</v>
      </c>
      <c r="K62" s="12">
        <v>8</v>
      </c>
      <c r="L62" s="12">
        <v>3</v>
      </c>
      <c r="M62" s="12">
        <v>10</v>
      </c>
      <c r="N62" s="12">
        <v>10</v>
      </c>
      <c r="O62" s="14">
        <f>SUM(Tableau13[[#This Row],[Exercices d''obsevation]:[TIC]])</f>
        <v>72</v>
      </c>
      <c r="P62" s="26">
        <f>AVERAGE(Tableau13[[#This Row],[Exercices d''obsevation]:[TIC]])</f>
        <v>6.5454545454545459</v>
      </c>
      <c r="Q62" s="14">
        <f>RANK(Tableau13[[#This Row],[Moyenne]],Tableau13[Moyenne],0)</f>
        <v>59</v>
      </c>
      <c r="R62" s="28" t="str">
        <f>IF(Tableau13[[#This Row],[Moyenne]]&gt;=5,"Validé","Non Validé")</f>
        <v>Validé</v>
      </c>
    </row>
    <row r="63" spans="1:18" ht="24.95" customHeight="1" thickBot="1" x14ac:dyDescent="0.3">
      <c r="A63" s="2">
        <v>111</v>
      </c>
      <c r="B63" s="1" t="s">
        <v>135</v>
      </c>
      <c r="C63" s="44" t="s">
        <v>143</v>
      </c>
      <c r="D63" s="11">
        <v>6</v>
      </c>
      <c r="E63" s="11">
        <v>8</v>
      </c>
      <c r="F63" s="11">
        <v>8</v>
      </c>
      <c r="G63" s="11">
        <v>8</v>
      </c>
      <c r="H63" s="11">
        <v>6</v>
      </c>
      <c r="I63" s="11">
        <v>8</v>
      </c>
      <c r="J63" s="11">
        <v>3</v>
      </c>
      <c r="K63" s="11">
        <v>6</v>
      </c>
      <c r="L63" s="11">
        <v>3</v>
      </c>
      <c r="M63" s="11">
        <v>7</v>
      </c>
      <c r="N63" s="11">
        <v>9</v>
      </c>
      <c r="O63" s="11">
        <f>SUM(Tableau13[[#This Row],[Exercices d''obsevation]:[TIC]])</f>
        <v>72</v>
      </c>
      <c r="P63" s="25">
        <f>AVERAGE(Tableau13[[#This Row],[Exercices d''obsevation]:[TIC]])</f>
        <v>6.5454545454545459</v>
      </c>
      <c r="Q63" s="11">
        <f>RANK(Tableau13[[#This Row],[Moyenne]],Tableau13[Moyenne],0)</f>
        <v>59</v>
      </c>
      <c r="R63" s="43" t="str">
        <f>IF(Tableau13[[#This Row],[Moyenne]]&gt;=5,"Validé","Non Validé")</f>
        <v>Validé</v>
      </c>
    </row>
    <row r="64" spans="1:18" ht="24.95" customHeight="1" thickBot="1" x14ac:dyDescent="0.3">
      <c r="A64" s="2">
        <v>26</v>
      </c>
      <c r="B64" s="1" t="s">
        <v>40</v>
      </c>
      <c r="C64" s="44" t="s">
        <v>143</v>
      </c>
      <c r="D64" s="11">
        <v>9</v>
      </c>
      <c r="E64" s="11">
        <v>7</v>
      </c>
      <c r="F64" s="11">
        <v>8</v>
      </c>
      <c r="G64" s="11">
        <v>3</v>
      </c>
      <c r="H64" s="11">
        <v>7</v>
      </c>
      <c r="I64" s="11">
        <v>10</v>
      </c>
      <c r="J64" s="11">
        <v>2</v>
      </c>
      <c r="K64" s="11">
        <v>7</v>
      </c>
      <c r="L64" s="11">
        <v>2</v>
      </c>
      <c r="M64" s="11">
        <v>6</v>
      </c>
      <c r="N64" s="11">
        <v>10</v>
      </c>
      <c r="O64" s="11">
        <f>SUM(Tableau13[[#This Row],[Exercices d''obsevation]:[TIC]])</f>
        <v>71</v>
      </c>
      <c r="P64" s="25">
        <f>AVERAGE(Tableau13[[#This Row],[Exercices d''obsevation]:[TIC]])</f>
        <v>6.4545454545454541</v>
      </c>
      <c r="Q64" s="11">
        <f>RANK(Tableau13[[#This Row],[Moyenne]],Tableau13[Moyenne],0)</f>
        <v>63</v>
      </c>
      <c r="R64" s="43" t="str">
        <f>IF(Tableau13[[#This Row],[Moyenne]]&gt;=5,"Validé","Non Validé")</f>
        <v>Validé</v>
      </c>
    </row>
    <row r="65" spans="1:18" ht="24.95" customHeight="1" thickBot="1" x14ac:dyDescent="0.3">
      <c r="A65" s="2">
        <v>78</v>
      </c>
      <c r="B65" s="1" t="s">
        <v>70</v>
      </c>
      <c r="C65" s="44" t="s">
        <v>143</v>
      </c>
      <c r="D65" s="11">
        <v>8</v>
      </c>
      <c r="E65" s="11">
        <v>8</v>
      </c>
      <c r="F65" s="11">
        <v>8</v>
      </c>
      <c r="G65" s="11">
        <v>7</v>
      </c>
      <c r="H65" s="11">
        <v>6</v>
      </c>
      <c r="I65" s="11">
        <v>6</v>
      </c>
      <c r="J65" s="11">
        <v>6</v>
      </c>
      <c r="K65" s="11">
        <v>6</v>
      </c>
      <c r="L65" s="11">
        <v>2</v>
      </c>
      <c r="M65" s="11">
        <v>8</v>
      </c>
      <c r="N65" s="11">
        <v>6</v>
      </c>
      <c r="O65" s="11">
        <f>SUM(Tableau13[[#This Row],[Exercices d''obsevation]:[TIC]])</f>
        <v>71</v>
      </c>
      <c r="P65" s="25">
        <f>AVERAGE(Tableau13[[#This Row],[Exercices d''obsevation]:[TIC]])</f>
        <v>6.4545454545454541</v>
      </c>
      <c r="Q65" s="11">
        <f>RANK(Tableau13[[#This Row],[Moyenne]],Tableau13[Moyenne],0)</f>
        <v>63</v>
      </c>
      <c r="R65" s="43" t="str">
        <f>IF(Tableau13[[#This Row],[Moyenne]]&gt;=5,"Validé","Non Validé")</f>
        <v>Validé</v>
      </c>
    </row>
    <row r="66" spans="1:18" ht="24.95" customHeight="1" thickBot="1" x14ac:dyDescent="0.3">
      <c r="A66" s="2">
        <v>52</v>
      </c>
      <c r="B66" s="9" t="s">
        <v>41</v>
      </c>
      <c r="C66" s="12" t="s">
        <v>142</v>
      </c>
      <c r="D66" s="12">
        <v>8</v>
      </c>
      <c r="E66" s="12">
        <v>10</v>
      </c>
      <c r="F66" s="12">
        <v>8</v>
      </c>
      <c r="G66" s="12">
        <v>5</v>
      </c>
      <c r="H66" s="12">
        <v>9</v>
      </c>
      <c r="I66" s="12">
        <v>10</v>
      </c>
      <c r="J66" s="12">
        <v>0</v>
      </c>
      <c r="K66" s="12">
        <v>6</v>
      </c>
      <c r="L66" s="12">
        <v>0</v>
      </c>
      <c r="M66" s="12">
        <v>6</v>
      </c>
      <c r="N66" s="12">
        <v>8</v>
      </c>
      <c r="O66" s="14">
        <f>SUM(Tableau13[[#This Row],[Exercices d''obsevation]:[TIC]])</f>
        <v>70</v>
      </c>
      <c r="P66" s="26">
        <f>AVERAGE(Tableau13[[#This Row],[Exercices d''obsevation]:[TIC]])</f>
        <v>6.3636363636363633</v>
      </c>
      <c r="Q66" s="14">
        <f>RANK(Tableau13[[#This Row],[Moyenne]],Tableau13[Moyenne],0)</f>
        <v>65</v>
      </c>
      <c r="R66" s="28" t="str">
        <f>IF(Tableau13[[#This Row],[Moyenne]]&gt;=5,"Validé","Non Validé")</f>
        <v>Validé</v>
      </c>
    </row>
    <row r="67" spans="1:18" ht="24.95" customHeight="1" thickBot="1" x14ac:dyDescent="0.3">
      <c r="A67" s="2">
        <v>56</v>
      </c>
      <c r="B67" s="9" t="s">
        <v>64</v>
      </c>
      <c r="C67" s="12" t="s">
        <v>142</v>
      </c>
      <c r="D67" s="12">
        <v>10</v>
      </c>
      <c r="E67" s="12">
        <v>10</v>
      </c>
      <c r="F67" s="12">
        <v>8</v>
      </c>
      <c r="G67" s="14">
        <v>2</v>
      </c>
      <c r="H67" s="12">
        <v>7</v>
      </c>
      <c r="I67" s="12">
        <v>5</v>
      </c>
      <c r="J67" s="12">
        <v>2</v>
      </c>
      <c r="K67" s="12">
        <v>7</v>
      </c>
      <c r="L67" s="12">
        <v>0</v>
      </c>
      <c r="M67" s="12">
        <v>8</v>
      </c>
      <c r="N67" s="14">
        <v>10</v>
      </c>
      <c r="O67" s="14">
        <f>SUM(Tableau13[[#This Row],[Exercices d''obsevation]:[TIC]])</f>
        <v>69</v>
      </c>
      <c r="P67" s="26">
        <f>AVERAGE(Tableau13[[#This Row],[Exercices d''obsevation]:[TIC]])</f>
        <v>6.2727272727272725</v>
      </c>
      <c r="Q67" s="14">
        <f>RANK(Tableau13[[#This Row],[Moyenne]],Tableau13[Moyenne],0)</f>
        <v>66</v>
      </c>
      <c r="R67" s="28" t="str">
        <f>IF(Tableau13[[#This Row],[Moyenne]]&gt;=5,"Validé","Non Validé")</f>
        <v>Validé</v>
      </c>
    </row>
    <row r="68" spans="1:18" ht="37.5" customHeight="1" thickBot="1" x14ac:dyDescent="0.3">
      <c r="A68" s="2">
        <v>80</v>
      </c>
      <c r="B68" s="9" t="s">
        <v>16</v>
      </c>
      <c r="C68" s="12" t="s">
        <v>142</v>
      </c>
      <c r="D68" s="12">
        <v>8</v>
      </c>
      <c r="E68" s="12">
        <v>8</v>
      </c>
      <c r="F68" s="12">
        <v>8</v>
      </c>
      <c r="G68" s="12">
        <v>6</v>
      </c>
      <c r="H68" s="12">
        <v>7</v>
      </c>
      <c r="I68" s="12">
        <v>8</v>
      </c>
      <c r="J68" s="12">
        <v>3</v>
      </c>
      <c r="K68" s="12">
        <v>5</v>
      </c>
      <c r="L68" s="12">
        <v>1</v>
      </c>
      <c r="M68" s="12">
        <v>7</v>
      </c>
      <c r="N68" s="12">
        <v>8</v>
      </c>
      <c r="O68" s="14">
        <f>SUM(Tableau13[[#This Row],[Exercices d''obsevation]:[TIC]])</f>
        <v>69</v>
      </c>
      <c r="P68" s="26">
        <f>AVERAGE(Tableau13[[#This Row],[Exercices d''obsevation]:[TIC]])</f>
        <v>6.2727272727272725</v>
      </c>
      <c r="Q68" s="14">
        <f>RANK(Tableau13[[#This Row],[Moyenne]],Tableau13[Moyenne],0)</f>
        <v>66</v>
      </c>
      <c r="R68" s="28" t="str">
        <f>IF(Tableau13[[#This Row],[Moyenne]]&gt;=5,"Validé","Non Validé")</f>
        <v>Validé</v>
      </c>
    </row>
    <row r="69" spans="1:18" ht="24.95" customHeight="1" thickBot="1" x14ac:dyDescent="0.3">
      <c r="A69" s="2">
        <v>94</v>
      </c>
      <c r="B69" s="22" t="s">
        <v>109</v>
      </c>
      <c r="C69" s="12" t="s">
        <v>142</v>
      </c>
      <c r="D69" s="23">
        <v>6</v>
      </c>
      <c r="E69" s="23">
        <v>7</v>
      </c>
      <c r="F69" s="23">
        <v>8</v>
      </c>
      <c r="G69" s="23">
        <v>5</v>
      </c>
      <c r="H69" s="23">
        <v>8</v>
      </c>
      <c r="I69" s="23">
        <v>8</v>
      </c>
      <c r="J69" s="23">
        <v>1</v>
      </c>
      <c r="K69" s="23">
        <v>6</v>
      </c>
      <c r="L69" s="23">
        <v>2</v>
      </c>
      <c r="M69" s="23">
        <v>10</v>
      </c>
      <c r="N69" s="23">
        <v>8</v>
      </c>
      <c r="O69" s="14">
        <f>SUM(Tableau13[[#This Row],[Exercices d''obsevation]:[TIC]])</f>
        <v>69</v>
      </c>
      <c r="P69" s="26">
        <f>AVERAGE(Tableau13[[#This Row],[Exercices d''obsevation]:[TIC]])</f>
        <v>6.2727272727272725</v>
      </c>
      <c r="Q69" s="14">
        <f>RANK(Tableau13[[#This Row],[Moyenne]],Tableau13[Moyenne],0)</f>
        <v>66</v>
      </c>
      <c r="R69" s="28" t="str">
        <f>IF(Tableau13[[#This Row],[Moyenne]]&gt;=5,"Validé","Non Validé")</f>
        <v>Validé</v>
      </c>
    </row>
    <row r="70" spans="1:18" ht="24.95" customHeight="1" thickBot="1" x14ac:dyDescent="0.3">
      <c r="A70" s="2">
        <v>3</v>
      </c>
      <c r="B70" s="9" t="s">
        <v>50</v>
      </c>
      <c r="C70" s="12" t="s">
        <v>142</v>
      </c>
      <c r="D70" s="12">
        <v>2</v>
      </c>
      <c r="E70" s="12">
        <v>7</v>
      </c>
      <c r="F70" s="12">
        <v>8</v>
      </c>
      <c r="G70" s="12">
        <v>8</v>
      </c>
      <c r="H70" s="12">
        <v>9</v>
      </c>
      <c r="I70" s="12">
        <v>9</v>
      </c>
      <c r="J70" s="12">
        <v>1</v>
      </c>
      <c r="K70" s="12">
        <v>6</v>
      </c>
      <c r="L70" s="12">
        <v>5</v>
      </c>
      <c r="M70" s="12">
        <v>9</v>
      </c>
      <c r="N70" s="12">
        <v>4</v>
      </c>
      <c r="O70" s="14">
        <f>SUM(Tableau13[[#This Row],[Exercices d''obsevation]:[TIC]])</f>
        <v>68</v>
      </c>
      <c r="P70" s="26">
        <f>AVERAGE(Tableau13[[#This Row],[Exercices d''obsevation]:[TIC]])</f>
        <v>6.1818181818181817</v>
      </c>
      <c r="Q70" s="14">
        <f>RANK(Tableau13[[#This Row],[Moyenne]],Tableau13[Moyenne],0)</f>
        <v>69</v>
      </c>
      <c r="R70" s="28" t="str">
        <f>IF(Tableau13[[#This Row],[Moyenne]]&gt;=5,"Validé","Non Validé")</f>
        <v>Validé</v>
      </c>
    </row>
    <row r="71" spans="1:18" ht="24.95" customHeight="1" thickBot="1" x14ac:dyDescent="0.3">
      <c r="A71" s="2">
        <v>9</v>
      </c>
      <c r="B71" s="1" t="s">
        <v>79</v>
      </c>
      <c r="C71" s="44" t="s">
        <v>143</v>
      </c>
      <c r="D71" s="11">
        <v>9</v>
      </c>
      <c r="E71" s="11">
        <v>6</v>
      </c>
      <c r="F71" s="11">
        <v>8</v>
      </c>
      <c r="G71" s="11">
        <v>4</v>
      </c>
      <c r="H71" s="11">
        <v>8</v>
      </c>
      <c r="I71" s="11">
        <v>10</v>
      </c>
      <c r="J71" s="11">
        <v>0</v>
      </c>
      <c r="K71" s="11">
        <v>6</v>
      </c>
      <c r="L71" s="11">
        <v>2</v>
      </c>
      <c r="M71" s="11">
        <v>7</v>
      </c>
      <c r="N71" s="11">
        <v>8</v>
      </c>
      <c r="O71" s="11">
        <f>SUM(Tableau13[[#This Row],[Exercices d''obsevation]:[TIC]])</f>
        <v>68</v>
      </c>
      <c r="P71" s="25">
        <f>AVERAGE(Tableau13[[#This Row],[Exercices d''obsevation]:[TIC]])</f>
        <v>6.1818181818181817</v>
      </c>
      <c r="Q71" s="11">
        <f>RANK(Tableau13[[#This Row],[Moyenne]],Tableau13[Moyenne],0)</f>
        <v>69</v>
      </c>
      <c r="R71" s="43" t="str">
        <f>IF(Tableau13[[#This Row],[Moyenne]]&gt;=5,"Validé","Non Validé")</f>
        <v>Validé</v>
      </c>
    </row>
    <row r="72" spans="1:18" ht="24.95" customHeight="1" thickBot="1" x14ac:dyDescent="0.3">
      <c r="A72" s="2">
        <v>25</v>
      </c>
      <c r="B72" s="1" t="s">
        <v>75</v>
      </c>
      <c r="C72" s="44" t="s">
        <v>143</v>
      </c>
      <c r="D72" s="11">
        <v>10</v>
      </c>
      <c r="E72" s="11">
        <v>6</v>
      </c>
      <c r="F72" s="11">
        <v>8</v>
      </c>
      <c r="G72" s="11">
        <v>4</v>
      </c>
      <c r="H72" s="11">
        <v>6</v>
      </c>
      <c r="I72" s="11">
        <v>8</v>
      </c>
      <c r="J72" s="11">
        <v>6</v>
      </c>
      <c r="K72" s="11">
        <v>5</v>
      </c>
      <c r="L72" s="11">
        <v>0</v>
      </c>
      <c r="M72" s="11">
        <v>7</v>
      </c>
      <c r="N72" s="11">
        <v>8</v>
      </c>
      <c r="O72" s="11">
        <f>SUM(Tableau13[[#This Row],[Exercices d''obsevation]:[TIC]])</f>
        <v>68</v>
      </c>
      <c r="P72" s="25">
        <f>AVERAGE(Tableau13[[#This Row],[Exercices d''obsevation]:[TIC]])</f>
        <v>6.1818181818181817</v>
      </c>
      <c r="Q72" s="11">
        <f>RANK(Tableau13[[#This Row],[Moyenne]],Tableau13[Moyenne],0)</f>
        <v>69</v>
      </c>
      <c r="R72" s="43" t="str">
        <f>IF(Tableau13[[#This Row],[Moyenne]]&gt;=5,"Validé","Non Validé")</f>
        <v>Validé</v>
      </c>
    </row>
    <row r="73" spans="1:18" ht="24.95" customHeight="1" thickBot="1" x14ac:dyDescent="0.3">
      <c r="A73" s="2">
        <v>40</v>
      </c>
      <c r="B73" s="1" t="s">
        <v>117</v>
      </c>
      <c r="C73" s="44" t="s">
        <v>143</v>
      </c>
      <c r="D73" s="11">
        <v>9</v>
      </c>
      <c r="E73" s="11">
        <v>7</v>
      </c>
      <c r="F73" s="11">
        <v>8</v>
      </c>
      <c r="G73" s="11">
        <v>3</v>
      </c>
      <c r="H73" s="11">
        <v>7</v>
      </c>
      <c r="I73" s="11">
        <v>7</v>
      </c>
      <c r="J73" s="11">
        <v>1</v>
      </c>
      <c r="K73" s="11">
        <v>8</v>
      </c>
      <c r="L73" s="11">
        <v>6</v>
      </c>
      <c r="M73" s="11">
        <v>6</v>
      </c>
      <c r="N73" s="11">
        <v>6</v>
      </c>
      <c r="O73" s="11">
        <f>SUM(Tableau13[[#This Row],[Exercices d''obsevation]:[TIC]])</f>
        <v>68</v>
      </c>
      <c r="P73" s="25">
        <f>AVERAGE(Tableau13[[#This Row],[Exercices d''obsevation]:[TIC]])</f>
        <v>6.1818181818181817</v>
      </c>
      <c r="Q73" s="11">
        <f>RANK(Tableau13[[#This Row],[Moyenne]],Tableau13[Moyenne],0)</f>
        <v>69</v>
      </c>
      <c r="R73" s="43" t="str">
        <f>IF(Tableau13[[#This Row],[Moyenne]]&gt;=5,"Validé","Non Validé")</f>
        <v>Validé</v>
      </c>
    </row>
    <row r="74" spans="1:18" ht="24.95" customHeight="1" thickBot="1" x14ac:dyDescent="0.3">
      <c r="A74" s="2">
        <v>57</v>
      </c>
      <c r="B74" s="1" t="s">
        <v>120</v>
      </c>
      <c r="C74" s="44" t="s">
        <v>143</v>
      </c>
      <c r="D74" s="11">
        <v>2</v>
      </c>
      <c r="E74" s="11">
        <v>8</v>
      </c>
      <c r="F74" s="11">
        <v>8</v>
      </c>
      <c r="G74" s="11">
        <v>2</v>
      </c>
      <c r="H74" s="11">
        <v>8</v>
      </c>
      <c r="I74" s="11">
        <v>8</v>
      </c>
      <c r="J74" s="11">
        <v>0</v>
      </c>
      <c r="K74" s="11">
        <v>7</v>
      </c>
      <c r="L74" s="11">
        <v>4</v>
      </c>
      <c r="M74" s="11">
        <v>10</v>
      </c>
      <c r="N74" s="11">
        <v>10</v>
      </c>
      <c r="O74" s="11">
        <f>SUM(Tableau13[[#This Row],[Exercices d''obsevation]:[TIC]])</f>
        <v>67</v>
      </c>
      <c r="P74" s="25">
        <f>AVERAGE(Tableau13[[#This Row],[Exercices d''obsevation]:[TIC]])</f>
        <v>6.0909090909090908</v>
      </c>
      <c r="Q74" s="11">
        <f>RANK(Tableau13[[#This Row],[Moyenne]],Tableau13[Moyenne],0)</f>
        <v>73</v>
      </c>
      <c r="R74" s="43" t="str">
        <f>IF(Tableau13[[#This Row],[Moyenne]]&gt;=5,"Validé","Non Validé")</f>
        <v>Validé</v>
      </c>
    </row>
    <row r="75" spans="1:18" ht="24.95" customHeight="1" thickBot="1" x14ac:dyDescent="0.3">
      <c r="A75" s="2">
        <v>87</v>
      </c>
      <c r="B75" s="1" t="s">
        <v>131</v>
      </c>
      <c r="C75" s="44" t="s">
        <v>143</v>
      </c>
      <c r="D75" s="11">
        <v>6</v>
      </c>
      <c r="E75" s="11">
        <v>8</v>
      </c>
      <c r="F75" s="11">
        <v>7</v>
      </c>
      <c r="G75" s="11">
        <v>6</v>
      </c>
      <c r="H75" s="11">
        <v>6</v>
      </c>
      <c r="I75" s="11">
        <v>8</v>
      </c>
      <c r="J75" s="11">
        <v>3</v>
      </c>
      <c r="K75" s="11">
        <v>6</v>
      </c>
      <c r="L75" s="11">
        <v>0</v>
      </c>
      <c r="M75" s="11">
        <v>9</v>
      </c>
      <c r="N75" s="11">
        <v>8</v>
      </c>
      <c r="O75" s="11">
        <f>SUM(Tableau13[[#This Row],[Exercices d''obsevation]:[TIC]])</f>
        <v>67</v>
      </c>
      <c r="P75" s="25">
        <f>AVERAGE(Tableau13[[#This Row],[Exercices d''obsevation]:[TIC]])</f>
        <v>6.0909090909090908</v>
      </c>
      <c r="Q75" s="11">
        <f>RANK(Tableau13[[#This Row],[Moyenne]],Tableau13[Moyenne],0)</f>
        <v>73</v>
      </c>
      <c r="R75" s="43" t="str">
        <f>IF(Tableau13[[#This Row],[Moyenne]]&gt;=5,"Validé","Non Validé")</f>
        <v>Validé</v>
      </c>
    </row>
    <row r="76" spans="1:18" ht="24.95" customHeight="1" thickBot="1" x14ac:dyDescent="0.3">
      <c r="A76" s="2">
        <v>5</v>
      </c>
      <c r="B76" s="9" t="s">
        <v>14</v>
      </c>
      <c r="C76" s="12" t="s">
        <v>142</v>
      </c>
      <c r="D76" s="12">
        <v>4</v>
      </c>
      <c r="E76" s="12">
        <v>5</v>
      </c>
      <c r="F76" s="12">
        <v>9</v>
      </c>
      <c r="G76" s="12">
        <v>6</v>
      </c>
      <c r="H76" s="12">
        <v>6</v>
      </c>
      <c r="I76" s="12">
        <v>7</v>
      </c>
      <c r="J76" s="12">
        <v>3</v>
      </c>
      <c r="K76" s="12">
        <v>5</v>
      </c>
      <c r="L76" s="12">
        <v>3</v>
      </c>
      <c r="M76" s="12">
        <v>8</v>
      </c>
      <c r="N76" s="12">
        <v>10</v>
      </c>
      <c r="O76" s="14">
        <f>SUM(Tableau13[[#This Row],[Exercices d''obsevation]:[TIC]])</f>
        <v>66</v>
      </c>
      <c r="P76" s="26">
        <f>AVERAGE(Tableau13[[#This Row],[Exercices d''obsevation]:[TIC]])</f>
        <v>6</v>
      </c>
      <c r="Q76" s="14">
        <f>RANK(Tableau13[[#This Row],[Moyenne]],Tableau13[Moyenne],0)</f>
        <v>75</v>
      </c>
      <c r="R76" s="28" t="str">
        <f>IF(Tableau13[[#This Row],[Moyenne]]&gt;=5,"Validé","Non Validé")</f>
        <v>Validé</v>
      </c>
    </row>
    <row r="77" spans="1:18" ht="24.95" customHeight="1" thickBot="1" x14ac:dyDescent="0.3">
      <c r="A77" s="2">
        <v>33</v>
      </c>
      <c r="B77" s="1" t="s">
        <v>127</v>
      </c>
      <c r="C77" s="44" t="s">
        <v>143</v>
      </c>
      <c r="D77" s="11">
        <v>4</v>
      </c>
      <c r="E77" s="11">
        <v>10</v>
      </c>
      <c r="F77" s="11">
        <v>8</v>
      </c>
      <c r="G77" s="11">
        <v>2</v>
      </c>
      <c r="H77" s="11">
        <v>6</v>
      </c>
      <c r="I77" s="11">
        <v>6</v>
      </c>
      <c r="J77" s="11">
        <v>2</v>
      </c>
      <c r="K77" s="11">
        <v>7</v>
      </c>
      <c r="L77" s="11">
        <v>7</v>
      </c>
      <c r="M77" s="11">
        <v>8</v>
      </c>
      <c r="N77" s="11">
        <v>6</v>
      </c>
      <c r="O77" s="11">
        <f>SUM(Tableau13[[#This Row],[Exercices d''obsevation]:[TIC]])</f>
        <v>66</v>
      </c>
      <c r="P77" s="25">
        <f>AVERAGE(Tableau13[[#This Row],[Exercices d''obsevation]:[TIC]])</f>
        <v>6</v>
      </c>
      <c r="Q77" s="11">
        <f>RANK(Tableau13[[#This Row],[Moyenne]],Tableau13[Moyenne],0)</f>
        <v>75</v>
      </c>
      <c r="R77" s="43" t="str">
        <f>IF(Tableau13[[#This Row],[Moyenne]]&gt;=5,"Validé","Non Validé")</f>
        <v>Validé</v>
      </c>
    </row>
    <row r="78" spans="1:18" ht="24.95" customHeight="1" thickBot="1" x14ac:dyDescent="0.3">
      <c r="A78" s="2">
        <v>66</v>
      </c>
      <c r="B78" s="27" t="s">
        <v>122</v>
      </c>
      <c r="C78" s="12" t="s">
        <v>142</v>
      </c>
      <c r="D78" s="14">
        <v>8</v>
      </c>
      <c r="E78" s="14">
        <v>9</v>
      </c>
      <c r="F78" s="14">
        <v>8</v>
      </c>
      <c r="G78" s="14">
        <v>2</v>
      </c>
      <c r="H78" s="14">
        <v>5</v>
      </c>
      <c r="I78" s="14">
        <v>6</v>
      </c>
      <c r="J78" s="14">
        <v>3</v>
      </c>
      <c r="K78" s="14">
        <v>6</v>
      </c>
      <c r="L78" s="14">
        <v>4</v>
      </c>
      <c r="M78" s="14">
        <v>5</v>
      </c>
      <c r="N78" s="14">
        <v>10</v>
      </c>
      <c r="O78" s="14">
        <f>SUM(Tableau13[[#This Row],[Exercices d''obsevation]:[TIC]])</f>
        <v>66</v>
      </c>
      <c r="P78" s="26">
        <f>AVERAGE(Tableau13[[#This Row],[Exercices d''obsevation]:[TIC]])</f>
        <v>6</v>
      </c>
      <c r="Q78" s="14">
        <f>RANK(Tableau13[[#This Row],[Moyenne]],Tableau13[Moyenne],0)</f>
        <v>75</v>
      </c>
      <c r="R78" s="28" t="str">
        <f>IF(Tableau13[[#This Row],[Moyenne]]&gt;=5,"Validé","Non Validé")</f>
        <v>Validé</v>
      </c>
    </row>
    <row r="79" spans="1:18" ht="24.95" customHeight="1" thickBot="1" x14ac:dyDescent="0.3">
      <c r="A79" s="2">
        <v>84</v>
      </c>
      <c r="B79" s="9" t="s">
        <v>11</v>
      </c>
      <c r="C79" s="12" t="s">
        <v>142</v>
      </c>
      <c r="D79" s="12">
        <v>6</v>
      </c>
      <c r="E79" s="12">
        <v>6</v>
      </c>
      <c r="F79" s="12">
        <v>9</v>
      </c>
      <c r="G79" s="12">
        <v>7</v>
      </c>
      <c r="H79" s="12">
        <v>8</v>
      </c>
      <c r="I79" s="12">
        <v>8</v>
      </c>
      <c r="J79" s="12">
        <v>0</v>
      </c>
      <c r="K79" s="12">
        <v>6</v>
      </c>
      <c r="L79" s="12">
        <v>0</v>
      </c>
      <c r="M79" s="12">
        <v>8</v>
      </c>
      <c r="N79" s="12">
        <v>8</v>
      </c>
      <c r="O79" s="14">
        <f>SUM(Tableau13[[#This Row],[Exercices d''obsevation]:[TIC]])</f>
        <v>66</v>
      </c>
      <c r="P79" s="26">
        <f>AVERAGE(Tableau13[[#This Row],[Exercices d''obsevation]:[TIC]])</f>
        <v>6</v>
      </c>
      <c r="Q79" s="14">
        <f>RANK(Tableau13[[#This Row],[Moyenne]],Tableau13[Moyenne],0)</f>
        <v>75</v>
      </c>
      <c r="R79" s="28" t="str">
        <f>IF(Tableau13[[#This Row],[Moyenne]]&gt;=5,"Validé","Non Validé")</f>
        <v>Validé</v>
      </c>
    </row>
    <row r="80" spans="1:18" ht="24.95" customHeight="1" thickBot="1" x14ac:dyDescent="0.3">
      <c r="A80" s="2">
        <v>96</v>
      </c>
      <c r="B80" s="1" t="s">
        <v>57</v>
      </c>
      <c r="C80" s="44" t="s">
        <v>143</v>
      </c>
      <c r="D80" s="11">
        <v>8</v>
      </c>
      <c r="E80" s="11">
        <v>7</v>
      </c>
      <c r="F80" s="11">
        <v>8</v>
      </c>
      <c r="G80" s="11">
        <v>6</v>
      </c>
      <c r="H80" s="11">
        <v>6</v>
      </c>
      <c r="I80" s="11">
        <v>7</v>
      </c>
      <c r="J80" s="11">
        <v>2</v>
      </c>
      <c r="K80" s="11">
        <v>5</v>
      </c>
      <c r="L80" s="11">
        <v>3</v>
      </c>
      <c r="M80" s="11">
        <v>8</v>
      </c>
      <c r="N80" s="11">
        <v>6</v>
      </c>
      <c r="O80" s="11">
        <f>SUM(Tableau13[[#This Row],[Exercices d''obsevation]:[TIC]])</f>
        <v>66</v>
      </c>
      <c r="P80" s="25">
        <f>AVERAGE(Tableau13[[#This Row],[Exercices d''obsevation]:[TIC]])</f>
        <v>6</v>
      </c>
      <c r="Q80" s="11">
        <f>RANK(Tableau13[[#This Row],[Moyenne]],Tableau13[Moyenne],0)</f>
        <v>75</v>
      </c>
      <c r="R80" s="43" t="str">
        <f>IF(Tableau13[[#This Row],[Moyenne]]&gt;=5,"Validé","Non Validé")</f>
        <v>Validé</v>
      </c>
    </row>
    <row r="81" spans="1:18" ht="24.95" customHeight="1" thickBot="1" x14ac:dyDescent="0.3">
      <c r="A81" s="2">
        <v>16</v>
      </c>
      <c r="B81" s="9" t="s">
        <v>17</v>
      </c>
      <c r="C81" s="12" t="s">
        <v>142</v>
      </c>
      <c r="D81" s="12">
        <v>4</v>
      </c>
      <c r="E81" s="12">
        <v>6</v>
      </c>
      <c r="F81" s="12">
        <v>9</v>
      </c>
      <c r="G81" s="12">
        <v>7</v>
      </c>
      <c r="H81" s="12">
        <v>7</v>
      </c>
      <c r="I81" s="12">
        <v>8</v>
      </c>
      <c r="J81" s="12">
        <v>5</v>
      </c>
      <c r="K81" s="12">
        <v>4</v>
      </c>
      <c r="L81" s="12">
        <v>1</v>
      </c>
      <c r="M81" s="12">
        <v>6</v>
      </c>
      <c r="N81" s="12">
        <v>8</v>
      </c>
      <c r="O81" s="14">
        <f>SUM(Tableau13[[#This Row],[Exercices d''obsevation]:[TIC]])</f>
        <v>65</v>
      </c>
      <c r="P81" s="26">
        <f>AVERAGE(Tableau13[[#This Row],[Exercices d''obsevation]:[TIC]])</f>
        <v>5.9090909090909092</v>
      </c>
      <c r="Q81" s="14">
        <f>RANK(Tableau13[[#This Row],[Moyenne]],Tableau13[Moyenne],0)</f>
        <v>80</v>
      </c>
      <c r="R81" s="28" t="str">
        <f>IF(Tableau13[[#This Row],[Moyenne]]&gt;=5,"Validé","Non Validé")</f>
        <v>Validé</v>
      </c>
    </row>
    <row r="82" spans="1:18" ht="40.5" customHeight="1" thickBot="1" x14ac:dyDescent="0.3">
      <c r="A82" s="2">
        <v>29</v>
      </c>
      <c r="B82" s="1" t="s">
        <v>106</v>
      </c>
      <c r="C82" s="44" t="s">
        <v>143</v>
      </c>
      <c r="D82" s="11">
        <v>9</v>
      </c>
      <c r="E82" s="11">
        <v>8</v>
      </c>
      <c r="F82" s="11">
        <v>7</v>
      </c>
      <c r="G82" s="11">
        <v>6</v>
      </c>
      <c r="H82" s="11">
        <v>5</v>
      </c>
      <c r="I82" s="11">
        <v>6</v>
      </c>
      <c r="J82" s="11">
        <v>1</v>
      </c>
      <c r="K82" s="11">
        <v>5</v>
      </c>
      <c r="L82" s="11">
        <v>3</v>
      </c>
      <c r="M82" s="11">
        <v>7</v>
      </c>
      <c r="N82" s="11">
        <v>8</v>
      </c>
      <c r="O82" s="11">
        <f>SUM(Tableau13[[#This Row],[Exercices d''obsevation]:[TIC]])</f>
        <v>65</v>
      </c>
      <c r="P82" s="25">
        <f>AVERAGE(Tableau13[[#This Row],[Exercices d''obsevation]:[TIC]])</f>
        <v>5.9090909090909092</v>
      </c>
      <c r="Q82" s="11">
        <f>RANK(Tableau13[[#This Row],[Moyenne]],Tableau13[Moyenne],0)</f>
        <v>80</v>
      </c>
      <c r="R82" s="43" t="str">
        <f>IF(Tableau13[[#This Row],[Moyenne]]&gt;=5,"Validé","Non Validé")</f>
        <v>Validé</v>
      </c>
    </row>
    <row r="83" spans="1:18" ht="24.95" customHeight="1" thickBot="1" x14ac:dyDescent="0.3">
      <c r="A83" s="2">
        <v>49</v>
      </c>
      <c r="B83" s="1" t="s">
        <v>49</v>
      </c>
      <c r="C83" s="44" t="s">
        <v>143</v>
      </c>
      <c r="D83" s="11">
        <v>6</v>
      </c>
      <c r="E83" s="11">
        <v>10</v>
      </c>
      <c r="F83" s="11">
        <v>8</v>
      </c>
      <c r="G83" s="11">
        <v>6</v>
      </c>
      <c r="H83" s="11">
        <v>6</v>
      </c>
      <c r="I83" s="11">
        <v>7</v>
      </c>
      <c r="J83" s="11">
        <v>2</v>
      </c>
      <c r="K83" s="11">
        <v>4</v>
      </c>
      <c r="L83" s="11">
        <v>0</v>
      </c>
      <c r="M83" s="11">
        <v>8</v>
      </c>
      <c r="N83" s="11">
        <v>8</v>
      </c>
      <c r="O83" s="11">
        <f>SUM(Tableau13[[#This Row],[Exercices d''obsevation]:[TIC]])</f>
        <v>65</v>
      </c>
      <c r="P83" s="25">
        <f>AVERAGE(Tableau13[[#This Row],[Exercices d''obsevation]:[TIC]])</f>
        <v>5.9090909090909092</v>
      </c>
      <c r="Q83" s="11">
        <f>RANK(Tableau13[[#This Row],[Moyenne]],Tableau13[Moyenne],0)</f>
        <v>80</v>
      </c>
      <c r="R83" s="43" t="str">
        <f>IF(Tableau13[[#This Row],[Moyenne]]&gt;=5,"Validé","Non Validé")</f>
        <v>Validé</v>
      </c>
    </row>
    <row r="84" spans="1:18" ht="24.95" customHeight="1" thickBot="1" x14ac:dyDescent="0.3">
      <c r="A84" s="2">
        <v>20</v>
      </c>
      <c r="B84" s="1" t="s">
        <v>71</v>
      </c>
      <c r="C84" s="44" t="s">
        <v>143</v>
      </c>
      <c r="D84" s="11">
        <v>7</v>
      </c>
      <c r="E84" s="11">
        <v>6</v>
      </c>
      <c r="F84" s="11">
        <v>8</v>
      </c>
      <c r="G84" s="11">
        <v>5</v>
      </c>
      <c r="H84" s="11">
        <v>7</v>
      </c>
      <c r="I84" s="11">
        <v>7</v>
      </c>
      <c r="J84" s="11">
        <v>2</v>
      </c>
      <c r="K84" s="11">
        <v>6</v>
      </c>
      <c r="L84" s="11">
        <v>1</v>
      </c>
      <c r="M84" s="11">
        <v>7</v>
      </c>
      <c r="N84" s="11">
        <v>8</v>
      </c>
      <c r="O84" s="11">
        <f>SUM(Tableau13[[#This Row],[Exercices d''obsevation]:[TIC]])</f>
        <v>64</v>
      </c>
      <c r="P84" s="25">
        <f>AVERAGE(Tableau13[[#This Row],[Exercices d''obsevation]:[TIC]])</f>
        <v>5.8181818181818183</v>
      </c>
      <c r="Q84" s="11">
        <f>RANK(Tableau13[[#This Row],[Moyenne]],Tableau13[Moyenne],0)</f>
        <v>83</v>
      </c>
      <c r="R84" s="43" t="str">
        <f>IF(Tableau13[[#This Row],[Moyenne]]&gt;=5,"Validé","Non Validé")</f>
        <v>Validé</v>
      </c>
    </row>
    <row r="85" spans="1:18" ht="24.95" customHeight="1" thickBot="1" x14ac:dyDescent="0.3">
      <c r="A85" s="2">
        <v>21</v>
      </c>
      <c r="B85" s="9" t="s">
        <v>21</v>
      </c>
      <c r="C85" s="12" t="s">
        <v>142</v>
      </c>
      <c r="D85" s="12">
        <v>9</v>
      </c>
      <c r="E85" s="12">
        <v>4</v>
      </c>
      <c r="F85" s="12">
        <v>7</v>
      </c>
      <c r="G85" s="12">
        <v>3</v>
      </c>
      <c r="H85" s="12">
        <v>6</v>
      </c>
      <c r="I85" s="12">
        <v>6</v>
      </c>
      <c r="J85" s="12">
        <v>4</v>
      </c>
      <c r="K85" s="12">
        <v>5</v>
      </c>
      <c r="L85" s="12">
        <v>4</v>
      </c>
      <c r="M85" s="12">
        <v>7</v>
      </c>
      <c r="N85" s="12">
        <v>9</v>
      </c>
      <c r="O85" s="14">
        <f>SUM(Tableau13[[#This Row],[Exercices d''obsevation]:[TIC]])</f>
        <v>64</v>
      </c>
      <c r="P85" s="26">
        <f>AVERAGE(Tableau13[[#This Row],[Exercices d''obsevation]:[TIC]])</f>
        <v>5.8181818181818183</v>
      </c>
      <c r="Q85" s="14">
        <f>RANK(Tableau13[[#This Row],[Moyenne]],Tableau13[Moyenne],0)</f>
        <v>83</v>
      </c>
      <c r="R85" s="28" t="str">
        <f>IF(Tableau13[[#This Row],[Moyenne]]&gt;=5,"Validé","Non Validé")</f>
        <v>Validé</v>
      </c>
    </row>
    <row r="86" spans="1:18" ht="24.95" customHeight="1" thickBot="1" x14ac:dyDescent="0.3">
      <c r="A86" s="2">
        <v>27</v>
      </c>
      <c r="B86" s="9" t="s">
        <v>85</v>
      </c>
      <c r="C86" s="12" t="s">
        <v>142</v>
      </c>
      <c r="D86" s="12">
        <v>9</v>
      </c>
      <c r="E86" s="12">
        <v>6</v>
      </c>
      <c r="F86" s="12">
        <v>8</v>
      </c>
      <c r="G86" s="12">
        <v>2</v>
      </c>
      <c r="H86" s="12">
        <v>7</v>
      </c>
      <c r="I86" s="12">
        <v>8</v>
      </c>
      <c r="J86" s="12">
        <v>1</v>
      </c>
      <c r="K86" s="12">
        <v>4</v>
      </c>
      <c r="L86" s="12">
        <v>3</v>
      </c>
      <c r="M86" s="12">
        <v>6</v>
      </c>
      <c r="N86" s="12">
        <v>10</v>
      </c>
      <c r="O86" s="14">
        <f>SUM(Tableau13[[#This Row],[Exercices d''obsevation]:[TIC]])</f>
        <v>64</v>
      </c>
      <c r="P86" s="26">
        <f>AVERAGE(Tableau13[[#This Row],[Exercices d''obsevation]:[TIC]])</f>
        <v>5.8181818181818183</v>
      </c>
      <c r="Q86" s="14">
        <f>RANK(Tableau13[[#This Row],[Moyenne]],Tableau13[Moyenne],0)</f>
        <v>83</v>
      </c>
      <c r="R86" s="28" t="str">
        <f>IF(Tableau13[[#This Row],[Moyenne]]&gt;=5,"Validé","Non Validé")</f>
        <v>Validé</v>
      </c>
    </row>
    <row r="87" spans="1:18" ht="24.95" customHeight="1" thickBot="1" x14ac:dyDescent="0.3">
      <c r="A87" s="2">
        <v>61</v>
      </c>
      <c r="B87" s="1" t="s">
        <v>72</v>
      </c>
      <c r="C87" s="44" t="s">
        <v>143</v>
      </c>
      <c r="D87" s="11">
        <v>6</v>
      </c>
      <c r="E87" s="11">
        <v>4</v>
      </c>
      <c r="F87" s="11">
        <v>8</v>
      </c>
      <c r="G87" s="11">
        <v>3</v>
      </c>
      <c r="H87" s="11">
        <v>6</v>
      </c>
      <c r="I87" s="11">
        <v>7</v>
      </c>
      <c r="J87" s="11">
        <v>0</v>
      </c>
      <c r="K87" s="11">
        <v>9</v>
      </c>
      <c r="L87" s="11">
        <v>7</v>
      </c>
      <c r="M87" s="11">
        <v>6</v>
      </c>
      <c r="N87" s="11">
        <v>8</v>
      </c>
      <c r="O87" s="11">
        <f>SUM(Tableau13[[#This Row],[Exercices d''obsevation]:[TIC]])</f>
        <v>64</v>
      </c>
      <c r="P87" s="25">
        <f>AVERAGE(Tableau13[[#This Row],[Exercices d''obsevation]:[TIC]])</f>
        <v>5.8181818181818183</v>
      </c>
      <c r="Q87" s="11">
        <f>RANK(Tableau13[[#This Row],[Moyenne]],Tableau13[Moyenne],0)</f>
        <v>83</v>
      </c>
      <c r="R87" s="43" t="str">
        <f>IF(Tableau13[[#This Row],[Moyenne]]&gt;=5,"Validé","Non Validé")</f>
        <v>Validé</v>
      </c>
    </row>
    <row r="88" spans="1:18" ht="24.95" customHeight="1" thickBot="1" x14ac:dyDescent="0.3">
      <c r="A88" s="2">
        <v>62</v>
      </c>
      <c r="B88" s="9" t="s">
        <v>42</v>
      </c>
      <c r="C88" s="12" t="s">
        <v>142</v>
      </c>
      <c r="D88" s="12">
        <v>4</v>
      </c>
      <c r="E88" s="12">
        <v>8</v>
      </c>
      <c r="F88" s="12">
        <v>8</v>
      </c>
      <c r="G88" s="12">
        <v>7</v>
      </c>
      <c r="H88" s="12">
        <v>7</v>
      </c>
      <c r="I88" s="12">
        <v>5</v>
      </c>
      <c r="J88" s="12">
        <v>1</v>
      </c>
      <c r="K88" s="12">
        <v>6</v>
      </c>
      <c r="L88" s="12">
        <v>2</v>
      </c>
      <c r="M88" s="12">
        <v>8</v>
      </c>
      <c r="N88" s="12">
        <v>8</v>
      </c>
      <c r="O88" s="14">
        <f>SUM(Tableau13[[#This Row],[Exercices d''obsevation]:[TIC]])</f>
        <v>64</v>
      </c>
      <c r="P88" s="26">
        <f>AVERAGE(Tableau13[[#This Row],[Exercices d''obsevation]:[TIC]])</f>
        <v>5.8181818181818183</v>
      </c>
      <c r="Q88" s="14">
        <f>RANK(Tableau13[[#This Row],[Moyenne]],Tableau13[Moyenne],0)</f>
        <v>83</v>
      </c>
      <c r="R88" s="28" t="str">
        <f>IF(Tableau13[[#This Row],[Moyenne]]&gt;=5,"Validé","Non Validé")</f>
        <v>Validé</v>
      </c>
    </row>
    <row r="89" spans="1:18" ht="35.25" customHeight="1" thickBot="1" x14ac:dyDescent="0.3">
      <c r="A89" s="2">
        <v>89</v>
      </c>
      <c r="B89" s="1" t="s">
        <v>60</v>
      </c>
      <c r="C89" s="44" t="s">
        <v>143</v>
      </c>
      <c r="D89" s="11">
        <v>6</v>
      </c>
      <c r="E89" s="11">
        <v>9</v>
      </c>
      <c r="F89" s="11">
        <v>7</v>
      </c>
      <c r="G89" s="11">
        <v>3</v>
      </c>
      <c r="H89" s="11">
        <v>6</v>
      </c>
      <c r="I89" s="11">
        <v>4</v>
      </c>
      <c r="J89" s="11">
        <v>2</v>
      </c>
      <c r="K89" s="11">
        <v>8</v>
      </c>
      <c r="L89" s="11">
        <v>4</v>
      </c>
      <c r="M89" s="11">
        <v>7</v>
      </c>
      <c r="N89" s="11">
        <v>8</v>
      </c>
      <c r="O89" s="11">
        <f>SUM(Tableau13[[#This Row],[Exercices d''obsevation]:[TIC]])</f>
        <v>64</v>
      </c>
      <c r="P89" s="25">
        <f>AVERAGE(Tableau13[[#This Row],[Exercices d''obsevation]:[TIC]])</f>
        <v>5.8181818181818183</v>
      </c>
      <c r="Q89" s="11">
        <f>RANK(Tableau13[[#This Row],[Moyenne]],Tableau13[Moyenne],0)</f>
        <v>83</v>
      </c>
      <c r="R89" s="43" t="str">
        <f>IF(Tableau13[[#This Row],[Moyenne]]&gt;=5,"Validé","Non Validé")</f>
        <v>Validé</v>
      </c>
    </row>
    <row r="90" spans="1:18" ht="27.75" customHeight="1" thickBot="1" x14ac:dyDescent="0.3">
      <c r="A90" s="2">
        <v>109</v>
      </c>
      <c r="B90" s="1" t="s">
        <v>118</v>
      </c>
      <c r="C90" s="44" t="s">
        <v>143</v>
      </c>
      <c r="D90" s="11">
        <v>6</v>
      </c>
      <c r="E90" s="11">
        <v>6</v>
      </c>
      <c r="F90" s="11">
        <v>9</v>
      </c>
      <c r="G90" s="11">
        <v>2</v>
      </c>
      <c r="H90" s="11">
        <v>6</v>
      </c>
      <c r="I90" s="11">
        <v>6</v>
      </c>
      <c r="J90" s="11">
        <v>6</v>
      </c>
      <c r="K90" s="11">
        <v>5</v>
      </c>
      <c r="L90" s="11">
        <v>0</v>
      </c>
      <c r="M90" s="11">
        <v>8</v>
      </c>
      <c r="N90" s="11">
        <v>10</v>
      </c>
      <c r="O90" s="11">
        <f>SUM(Tableau13[[#This Row],[Exercices d''obsevation]:[TIC]])</f>
        <v>64</v>
      </c>
      <c r="P90" s="25">
        <f>AVERAGE(Tableau13[[#This Row],[Exercices d''obsevation]:[TIC]])</f>
        <v>5.8181818181818183</v>
      </c>
      <c r="Q90" s="11">
        <f>RANK(Tableau13[[#This Row],[Moyenne]],Tableau13[Moyenne],0)</f>
        <v>83</v>
      </c>
      <c r="R90" s="43" t="str">
        <f>IF(Tableau13[[#This Row],[Moyenne]]&gt;=5,"Validé","Non Validé")</f>
        <v>Validé</v>
      </c>
    </row>
    <row r="91" spans="1:18" ht="24.95" customHeight="1" thickBot="1" x14ac:dyDescent="0.3">
      <c r="A91" s="2">
        <v>28</v>
      </c>
      <c r="B91" s="9" t="s">
        <v>86</v>
      </c>
      <c r="C91" s="12" t="s">
        <v>142</v>
      </c>
      <c r="D91" s="12">
        <v>10</v>
      </c>
      <c r="E91" s="12">
        <v>6</v>
      </c>
      <c r="F91" s="12">
        <v>8</v>
      </c>
      <c r="G91" s="12">
        <v>4</v>
      </c>
      <c r="H91" s="12">
        <v>6</v>
      </c>
      <c r="I91" s="12">
        <v>7</v>
      </c>
      <c r="J91" s="12">
        <v>0</v>
      </c>
      <c r="K91" s="12">
        <v>7</v>
      </c>
      <c r="L91" s="12">
        <v>0</v>
      </c>
      <c r="M91" s="12">
        <v>7</v>
      </c>
      <c r="N91" s="12">
        <v>8</v>
      </c>
      <c r="O91" s="14">
        <f>SUM(Tableau13[[#This Row],[Exercices d''obsevation]:[TIC]])</f>
        <v>63</v>
      </c>
      <c r="P91" s="26">
        <f>AVERAGE(Tableau13[[#This Row],[Exercices d''obsevation]:[TIC]])</f>
        <v>5.7272727272727275</v>
      </c>
      <c r="Q91" s="14">
        <f>RANK(Tableau13[[#This Row],[Moyenne]],Tableau13[Moyenne],0)</f>
        <v>90</v>
      </c>
      <c r="R91" s="28" t="str">
        <f>IF(Tableau13[[#This Row],[Moyenne]]&gt;=5,"Validé","Non Validé")</f>
        <v>Validé</v>
      </c>
    </row>
    <row r="92" spans="1:18" ht="24.95" customHeight="1" thickBot="1" x14ac:dyDescent="0.3">
      <c r="A92" s="2">
        <v>86</v>
      </c>
      <c r="B92" s="1" t="s">
        <v>62</v>
      </c>
      <c r="C92" s="44" t="s">
        <v>143</v>
      </c>
      <c r="D92" s="11">
        <v>4</v>
      </c>
      <c r="E92" s="11">
        <v>9</v>
      </c>
      <c r="F92" s="11">
        <v>7</v>
      </c>
      <c r="G92" s="11">
        <v>4</v>
      </c>
      <c r="H92" s="11">
        <v>8</v>
      </c>
      <c r="I92" s="11">
        <v>8</v>
      </c>
      <c r="J92" s="11">
        <v>2</v>
      </c>
      <c r="K92" s="11">
        <v>5</v>
      </c>
      <c r="L92" s="11">
        <v>0</v>
      </c>
      <c r="M92" s="11">
        <v>8</v>
      </c>
      <c r="N92" s="11">
        <v>8</v>
      </c>
      <c r="O92" s="11">
        <f>SUM(Tableau13[[#This Row],[Exercices d''obsevation]:[TIC]])</f>
        <v>63</v>
      </c>
      <c r="P92" s="25">
        <f>AVERAGE(Tableau13[[#This Row],[Exercices d''obsevation]:[TIC]])</f>
        <v>5.7272727272727275</v>
      </c>
      <c r="Q92" s="11">
        <f>RANK(Tableau13[[#This Row],[Moyenne]],Tableau13[Moyenne],0)</f>
        <v>90</v>
      </c>
      <c r="R92" s="43" t="str">
        <f>IF(Tableau13[[#This Row],[Moyenne]]&gt;=5,"Validé","Non Validé")</f>
        <v>Validé</v>
      </c>
    </row>
    <row r="93" spans="1:18" ht="24.95" customHeight="1" thickBot="1" x14ac:dyDescent="0.3">
      <c r="A93" s="2">
        <v>23</v>
      </c>
      <c r="B93" s="7" t="s">
        <v>105</v>
      </c>
      <c r="C93" s="44" t="s">
        <v>143</v>
      </c>
      <c r="D93" s="13">
        <v>6</v>
      </c>
      <c r="E93" s="13">
        <v>5</v>
      </c>
      <c r="F93" s="13">
        <v>8</v>
      </c>
      <c r="G93" s="13">
        <v>4</v>
      </c>
      <c r="H93" s="13">
        <v>7</v>
      </c>
      <c r="I93" s="13">
        <v>9</v>
      </c>
      <c r="J93" s="13">
        <v>0</v>
      </c>
      <c r="K93" s="13">
        <v>7</v>
      </c>
      <c r="L93" s="13">
        <v>0</v>
      </c>
      <c r="M93" s="13">
        <v>6</v>
      </c>
      <c r="N93" s="13">
        <v>10</v>
      </c>
      <c r="O93" s="11">
        <f>SUM(Tableau13[[#This Row],[Exercices d''obsevation]:[TIC]])</f>
        <v>62</v>
      </c>
      <c r="P93" s="25">
        <f>AVERAGE(Tableau13[[#This Row],[Exercices d''obsevation]:[TIC]])</f>
        <v>5.6363636363636367</v>
      </c>
      <c r="Q93" s="11">
        <f>RANK(Tableau13[[#This Row],[Moyenne]],Tableau13[Moyenne],0)</f>
        <v>92</v>
      </c>
      <c r="R93" s="43" t="str">
        <f>IF(Tableau13[[#This Row],[Moyenne]]&gt;=5,"Validé","Non Validé")</f>
        <v>Validé</v>
      </c>
    </row>
    <row r="94" spans="1:18" ht="34.5" customHeight="1" thickBot="1" x14ac:dyDescent="0.3">
      <c r="A94" s="2">
        <v>90</v>
      </c>
      <c r="B94" s="7" t="s">
        <v>6</v>
      </c>
      <c r="C94" s="44" t="s">
        <v>143</v>
      </c>
      <c r="D94" s="13">
        <v>6</v>
      </c>
      <c r="E94" s="13">
        <v>8</v>
      </c>
      <c r="F94" s="13">
        <v>7</v>
      </c>
      <c r="G94" s="13">
        <v>1</v>
      </c>
      <c r="H94" s="13">
        <v>6</v>
      </c>
      <c r="I94" s="13">
        <v>6</v>
      </c>
      <c r="J94" s="13">
        <v>6</v>
      </c>
      <c r="K94" s="13">
        <v>4</v>
      </c>
      <c r="L94" s="13">
        <v>5</v>
      </c>
      <c r="M94" s="13">
        <v>9</v>
      </c>
      <c r="N94" s="13">
        <v>4</v>
      </c>
      <c r="O94" s="11">
        <f>SUM(Tableau13[[#This Row],[Exercices d''obsevation]:[TIC]])</f>
        <v>62</v>
      </c>
      <c r="P94" s="25">
        <f>AVERAGE(Tableau13[[#This Row],[Exercices d''obsevation]:[TIC]])</f>
        <v>5.6363636363636367</v>
      </c>
      <c r="Q94" s="11">
        <f>RANK(Tableau13[[#This Row],[Moyenne]],Tableau13[Moyenne],0)</f>
        <v>92</v>
      </c>
      <c r="R94" s="43" t="str">
        <f>IF(Tableau13[[#This Row],[Moyenne]]&gt;=5,"Validé","Non Validé")</f>
        <v>Validé</v>
      </c>
    </row>
    <row r="95" spans="1:18" ht="24.95" customHeight="1" thickBot="1" x14ac:dyDescent="0.3">
      <c r="A95" s="2">
        <v>102</v>
      </c>
      <c r="B95" s="17" t="s">
        <v>61</v>
      </c>
      <c r="C95" s="12" t="s">
        <v>142</v>
      </c>
      <c r="D95" s="18">
        <v>6</v>
      </c>
      <c r="E95" s="18">
        <v>7</v>
      </c>
      <c r="F95" s="18">
        <v>8</v>
      </c>
      <c r="G95" s="18">
        <v>5</v>
      </c>
      <c r="H95" s="18">
        <v>5</v>
      </c>
      <c r="I95" s="18">
        <v>7</v>
      </c>
      <c r="J95" s="18">
        <v>1</v>
      </c>
      <c r="K95" s="18">
        <v>7</v>
      </c>
      <c r="L95" s="18">
        <v>2</v>
      </c>
      <c r="M95" s="18">
        <v>7</v>
      </c>
      <c r="N95" s="18">
        <v>7</v>
      </c>
      <c r="O95" s="14">
        <f>SUM(Tableau13[[#This Row],[Exercices d''obsevation]:[TIC]])</f>
        <v>62</v>
      </c>
      <c r="P95" s="26">
        <f>AVERAGE(Tableau13[[#This Row],[Exercices d''obsevation]:[TIC]])</f>
        <v>5.6363636363636367</v>
      </c>
      <c r="Q95" s="14">
        <f>RANK(Tableau13[[#This Row],[Moyenne]],Tableau13[Moyenne],0)</f>
        <v>92</v>
      </c>
      <c r="R95" s="28" t="str">
        <f>IF(Tableau13[[#This Row],[Moyenne]]&gt;=5,"Validé","Non Validé")</f>
        <v>Validé</v>
      </c>
    </row>
    <row r="96" spans="1:18" ht="16.5" thickBot="1" x14ac:dyDescent="0.3">
      <c r="A96" s="2">
        <v>105</v>
      </c>
      <c r="B96" s="9" t="s">
        <v>137</v>
      </c>
      <c r="C96" s="12" t="s">
        <v>142</v>
      </c>
      <c r="D96" s="12">
        <v>6</v>
      </c>
      <c r="E96" s="12">
        <v>7</v>
      </c>
      <c r="F96" s="12">
        <v>7</v>
      </c>
      <c r="G96" s="12">
        <v>7</v>
      </c>
      <c r="H96" s="12">
        <v>4</v>
      </c>
      <c r="I96" s="12">
        <v>5</v>
      </c>
      <c r="J96" s="12">
        <v>1</v>
      </c>
      <c r="K96" s="12">
        <v>5</v>
      </c>
      <c r="L96" s="18">
        <v>3</v>
      </c>
      <c r="M96" s="18">
        <v>9</v>
      </c>
      <c r="N96" s="18">
        <v>8</v>
      </c>
      <c r="O96" s="14">
        <f>SUM(Tableau13[[#This Row],[Exercices d''obsevation]:[TIC]])</f>
        <v>62</v>
      </c>
      <c r="P96" s="26">
        <f>AVERAGE(Tableau13[[#This Row],[Exercices d''obsevation]:[TIC]])</f>
        <v>5.6363636363636367</v>
      </c>
      <c r="Q96" s="14">
        <f>RANK(Tableau13[[#This Row],[Moyenne]],Tableau13[Moyenne],0)</f>
        <v>92</v>
      </c>
      <c r="R96" s="28" t="str">
        <f>IF(Tableau13[[#This Row],[Moyenne]]&gt;=5,"Validé","Non Validé")</f>
        <v>Validé</v>
      </c>
    </row>
    <row r="97" spans="1:18" ht="16.5" thickBot="1" x14ac:dyDescent="0.3">
      <c r="A97" s="2">
        <v>22</v>
      </c>
      <c r="B97" s="1" t="s">
        <v>32</v>
      </c>
      <c r="C97" s="44" t="s">
        <v>143</v>
      </c>
      <c r="D97" s="11">
        <v>1</v>
      </c>
      <c r="E97" s="11">
        <v>6</v>
      </c>
      <c r="F97" s="11">
        <v>8</v>
      </c>
      <c r="G97" s="11">
        <v>6</v>
      </c>
      <c r="H97" s="11">
        <v>6</v>
      </c>
      <c r="I97" s="11">
        <v>8</v>
      </c>
      <c r="J97" s="11">
        <v>2</v>
      </c>
      <c r="K97" s="11">
        <v>6</v>
      </c>
      <c r="L97" s="13">
        <v>4</v>
      </c>
      <c r="M97" s="13">
        <v>7</v>
      </c>
      <c r="N97" s="13">
        <v>7</v>
      </c>
      <c r="O97" s="11">
        <f>SUM(Tableau13[[#This Row],[Exercices d''obsevation]:[TIC]])</f>
        <v>61</v>
      </c>
      <c r="P97" s="25">
        <f>AVERAGE(Tableau13[[#This Row],[Exercices d''obsevation]:[TIC]])</f>
        <v>5.5454545454545459</v>
      </c>
      <c r="Q97" s="11">
        <f>RANK(Tableau13[[#This Row],[Moyenne]],Tableau13[Moyenne],0)</f>
        <v>96</v>
      </c>
      <c r="R97" s="43" t="str">
        <f>IF(Tableau13[[#This Row],[Moyenne]]&gt;=5,"Validé","Non Validé")</f>
        <v>Validé</v>
      </c>
    </row>
    <row r="98" spans="1:18" ht="16.5" thickBot="1" x14ac:dyDescent="0.3">
      <c r="A98" s="2">
        <v>72</v>
      </c>
      <c r="B98" s="1" t="s">
        <v>35</v>
      </c>
      <c r="C98" s="44" t="s">
        <v>143</v>
      </c>
      <c r="D98" s="11">
        <v>8</v>
      </c>
      <c r="E98" s="11">
        <v>9</v>
      </c>
      <c r="F98" s="11">
        <v>8</v>
      </c>
      <c r="G98" s="11">
        <v>5</v>
      </c>
      <c r="H98" s="11">
        <v>5</v>
      </c>
      <c r="I98" s="11">
        <v>4</v>
      </c>
      <c r="J98" s="11">
        <v>0</v>
      </c>
      <c r="K98" s="11">
        <v>5</v>
      </c>
      <c r="L98" s="13">
        <v>0</v>
      </c>
      <c r="M98" s="13">
        <v>8</v>
      </c>
      <c r="N98" s="13">
        <v>9</v>
      </c>
      <c r="O98" s="11">
        <f>SUM(Tableau13[[#This Row],[Exercices d''obsevation]:[TIC]])</f>
        <v>61</v>
      </c>
      <c r="P98" s="25">
        <f>AVERAGE(Tableau13[[#This Row],[Exercices d''obsevation]:[TIC]])</f>
        <v>5.5454545454545459</v>
      </c>
      <c r="Q98" s="11">
        <f>RANK(Tableau13[[#This Row],[Moyenne]],Tableau13[Moyenne],0)</f>
        <v>96</v>
      </c>
      <c r="R98" s="43" t="str">
        <f>IF(Tableau13[[#This Row],[Moyenne]]&gt;=5,"Validé","Non Validé")</f>
        <v>Validé</v>
      </c>
    </row>
    <row r="99" spans="1:18" ht="16.5" thickBot="1" x14ac:dyDescent="0.3">
      <c r="A99" s="2">
        <v>98</v>
      </c>
      <c r="B99" s="1" t="s">
        <v>121</v>
      </c>
      <c r="C99" s="44" t="s">
        <v>143</v>
      </c>
      <c r="D99" s="11">
        <v>0</v>
      </c>
      <c r="E99" s="11">
        <v>8</v>
      </c>
      <c r="F99" s="11">
        <v>7</v>
      </c>
      <c r="G99" s="11">
        <v>6</v>
      </c>
      <c r="H99" s="11">
        <v>5</v>
      </c>
      <c r="I99" s="11">
        <v>9</v>
      </c>
      <c r="J99" s="11">
        <v>1</v>
      </c>
      <c r="K99" s="11">
        <v>6</v>
      </c>
      <c r="L99" s="13">
        <v>3</v>
      </c>
      <c r="M99" s="13">
        <v>9</v>
      </c>
      <c r="N99" s="13">
        <v>7</v>
      </c>
      <c r="O99" s="11">
        <f>SUM(Tableau13[[#This Row],[Exercices d''obsevation]:[TIC]])</f>
        <v>61</v>
      </c>
      <c r="P99" s="25">
        <f>AVERAGE(Tableau13[[#This Row],[Exercices d''obsevation]:[TIC]])</f>
        <v>5.5454545454545459</v>
      </c>
      <c r="Q99" s="11">
        <f>RANK(Tableau13[[#This Row],[Moyenne]],Tableau13[Moyenne],0)</f>
        <v>96</v>
      </c>
      <c r="R99" s="43" t="str">
        <f>IF(Tableau13[[#This Row],[Moyenne]]&gt;=5,"Validé","Non Validé")</f>
        <v>Validé</v>
      </c>
    </row>
    <row r="100" spans="1:18" ht="16.5" thickBot="1" x14ac:dyDescent="0.3">
      <c r="A100" s="2">
        <v>100</v>
      </c>
      <c r="B100" s="1" t="s">
        <v>116</v>
      </c>
      <c r="C100" s="44" t="s">
        <v>143</v>
      </c>
      <c r="D100" s="11">
        <v>6</v>
      </c>
      <c r="E100" s="11">
        <v>8</v>
      </c>
      <c r="F100" s="11">
        <v>8</v>
      </c>
      <c r="G100" s="11">
        <v>6</v>
      </c>
      <c r="H100" s="11">
        <v>4</v>
      </c>
      <c r="I100" s="11">
        <v>4</v>
      </c>
      <c r="J100" s="11">
        <v>0</v>
      </c>
      <c r="K100" s="11">
        <v>6</v>
      </c>
      <c r="L100" s="13">
        <v>1</v>
      </c>
      <c r="M100" s="13">
        <v>9</v>
      </c>
      <c r="N100" s="13">
        <v>9</v>
      </c>
      <c r="O100" s="11">
        <f>SUM(Tableau13[[#This Row],[Exercices d''obsevation]:[TIC]])</f>
        <v>61</v>
      </c>
      <c r="P100" s="25">
        <f>AVERAGE(Tableau13[[#This Row],[Exercices d''obsevation]:[TIC]])</f>
        <v>5.5454545454545459</v>
      </c>
      <c r="Q100" s="11">
        <f>RANK(Tableau13[[#This Row],[Moyenne]],Tableau13[Moyenne],0)</f>
        <v>96</v>
      </c>
      <c r="R100" s="43" t="str">
        <f>IF(Tableau13[[#This Row],[Moyenne]]&gt;=5,"Validé","Non Validé")</f>
        <v>Validé</v>
      </c>
    </row>
    <row r="101" spans="1:18" ht="16.5" thickBot="1" x14ac:dyDescent="0.3">
      <c r="A101" s="2">
        <v>101</v>
      </c>
      <c r="B101" s="27" t="s">
        <v>124</v>
      </c>
      <c r="C101" s="12" t="s">
        <v>142</v>
      </c>
      <c r="D101" s="14">
        <v>8</v>
      </c>
      <c r="E101" s="14">
        <v>5</v>
      </c>
      <c r="F101" s="14">
        <v>8</v>
      </c>
      <c r="G101" s="14">
        <v>4</v>
      </c>
      <c r="H101" s="14">
        <v>5</v>
      </c>
      <c r="I101" s="14">
        <v>5</v>
      </c>
      <c r="J101" s="14">
        <v>0</v>
      </c>
      <c r="K101" s="14">
        <v>7</v>
      </c>
      <c r="L101" s="34">
        <v>7</v>
      </c>
      <c r="M101" s="34">
        <v>4</v>
      </c>
      <c r="N101" s="34">
        <v>8</v>
      </c>
      <c r="O101" s="14">
        <f>SUM(Tableau13[[#This Row],[Exercices d''obsevation]:[TIC]])</f>
        <v>61</v>
      </c>
      <c r="P101" s="26">
        <f>AVERAGE(Tableau13[[#This Row],[Exercices d''obsevation]:[TIC]])</f>
        <v>5.5454545454545459</v>
      </c>
      <c r="Q101" s="14">
        <f>RANK(Tableau13[[#This Row],[Moyenne]],Tableau13[Moyenne],0)</f>
        <v>96</v>
      </c>
      <c r="R101" s="28" t="str">
        <f>IF(Tableau13[[#This Row],[Moyenne]]&gt;=5,"Validé","Non Validé")</f>
        <v>Validé</v>
      </c>
    </row>
    <row r="102" spans="1:18" ht="16.5" thickBot="1" x14ac:dyDescent="0.3">
      <c r="A102" s="2">
        <v>107</v>
      </c>
      <c r="B102" s="1" t="s">
        <v>76</v>
      </c>
      <c r="C102" s="44" t="s">
        <v>143</v>
      </c>
      <c r="D102" s="11">
        <v>6</v>
      </c>
      <c r="E102" s="11">
        <v>6</v>
      </c>
      <c r="F102" s="11">
        <v>8</v>
      </c>
      <c r="G102" s="11">
        <v>3</v>
      </c>
      <c r="H102" s="11">
        <v>7</v>
      </c>
      <c r="I102" s="11">
        <v>9</v>
      </c>
      <c r="J102" s="11">
        <v>0</v>
      </c>
      <c r="K102" s="11">
        <v>6</v>
      </c>
      <c r="L102" s="13">
        <v>1</v>
      </c>
      <c r="M102" s="13">
        <v>6</v>
      </c>
      <c r="N102" s="13">
        <v>9</v>
      </c>
      <c r="O102" s="11">
        <f>SUM(Tableau13[[#This Row],[Exercices d''obsevation]:[TIC]])</f>
        <v>61</v>
      </c>
      <c r="P102" s="25">
        <f>AVERAGE(Tableau13[[#This Row],[Exercices d''obsevation]:[TIC]])</f>
        <v>5.5454545454545459</v>
      </c>
      <c r="Q102" s="11">
        <f>RANK(Tableau13[[#This Row],[Moyenne]],Tableau13[Moyenne],0)</f>
        <v>96</v>
      </c>
      <c r="R102" s="43" t="str">
        <f>IF(Tableau13[[#This Row],[Moyenne]]&gt;=5,"Validé","Non Validé")</f>
        <v>Validé</v>
      </c>
    </row>
    <row r="103" spans="1:18" ht="32.25" thickBot="1" x14ac:dyDescent="0.3">
      <c r="A103" s="2">
        <v>110</v>
      </c>
      <c r="B103" s="1" t="s">
        <v>134</v>
      </c>
      <c r="C103" s="44" t="s">
        <v>143</v>
      </c>
      <c r="D103" s="11">
        <v>6</v>
      </c>
      <c r="E103" s="11">
        <v>5</v>
      </c>
      <c r="F103" s="11">
        <v>7</v>
      </c>
      <c r="G103" s="11">
        <v>2</v>
      </c>
      <c r="H103" s="11">
        <v>6</v>
      </c>
      <c r="I103" s="11">
        <v>6</v>
      </c>
      <c r="J103" s="11">
        <v>6</v>
      </c>
      <c r="K103" s="11">
        <v>5</v>
      </c>
      <c r="L103" s="13">
        <v>2</v>
      </c>
      <c r="M103" s="13">
        <v>8</v>
      </c>
      <c r="N103" s="13">
        <v>8</v>
      </c>
      <c r="O103" s="11">
        <f>SUM(Tableau13[[#This Row],[Exercices d''obsevation]:[TIC]])</f>
        <v>61</v>
      </c>
      <c r="P103" s="25">
        <f>AVERAGE(Tableau13[[#This Row],[Exercices d''obsevation]:[TIC]])</f>
        <v>5.5454545454545459</v>
      </c>
      <c r="Q103" s="11">
        <f>RANK(Tableau13[[#This Row],[Moyenne]],Tableau13[Moyenne],0)</f>
        <v>96</v>
      </c>
      <c r="R103" s="43" t="str">
        <f>IF(Tableau13[[#This Row],[Moyenne]]&gt;=5,"Validé","Non Validé")</f>
        <v>Validé</v>
      </c>
    </row>
    <row r="104" spans="1:18" ht="16.5" thickBot="1" x14ac:dyDescent="0.3">
      <c r="A104" s="2">
        <v>55</v>
      </c>
      <c r="B104" s="9" t="s">
        <v>66</v>
      </c>
      <c r="C104" s="12" t="s">
        <v>142</v>
      </c>
      <c r="D104" s="12">
        <v>8</v>
      </c>
      <c r="E104" s="12">
        <v>10</v>
      </c>
      <c r="F104" s="12">
        <v>8</v>
      </c>
      <c r="G104" s="14">
        <v>0</v>
      </c>
      <c r="H104" s="12">
        <v>6</v>
      </c>
      <c r="I104" s="12">
        <v>6</v>
      </c>
      <c r="J104" s="12">
        <v>0</v>
      </c>
      <c r="K104" s="12">
        <v>6</v>
      </c>
      <c r="L104" s="18">
        <v>0</v>
      </c>
      <c r="M104" s="18">
        <v>6</v>
      </c>
      <c r="N104" s="34">
        <v>10</v>
      </c>
      <c r="O104" s="14">
        <f>SUM(Tableau13[[#This Row],[Exercices d''obsevation]:[TIC]])</f>
        <v>60</v>
      </c>
      <c r="P104" s="26">
        <f>AVERAGE(Tableau13[[#This Row],[Exercices d''obsevation]:[TIC]])</f>
        <v>5.4545454545454541</v>
      </c>
      <c r="Q104" s="14">
        <f>RANK(Tableau13[[#This Row],[Moyenne]],Tableau13[Moyenne],0)</f>
        <v>103</v>
      </c>
      <c r="R104" s="28" t="str">
        <f>IF(Tableau13[[#This Row],[Moyenne]]&gt;=5,"Validé","Non Validé")</f>
        <v>Validé</v>
      </c>
    </row>
    <row r="105" spans="1:18" ht="32.25" thickBot="1" x14ac:dyDescent="0.3">
      <c r="A105" s="2">
        <v>95</v>
      </c>
      <c r="B105" s="9" t="s">
        <v>52</v>
      </c>
      <c r="C105" s="12" t="s">
        <v>142</v>
      </c>
      <c r="D105" s="12">
        <v>6</v>
      </c>
      <c r="E105" s="12">
        <v>7</v>
      </c>
      <c r="F105" s="12">
        <v>7</v>
      </c>
      <c r="G105" s="12">
        <v>6</v>
      </c>
      <c r="H105" s="12">
        <v>8</v>
      </c>
      <c r="I105" s="12">
        <v>8</v>
      </c>
      <c r="J105" s="12">
        <v>0</v>
      </c>
      <c r="K105" s="12">
        <v>6</v>
      </c>
      <c r="L105" s="18">
        <v>0</v>
      </c>
      <c r="M105" s="18">
        <v>8</v>
      </c>
      <c r="N105" s="18">
        <v>4</v>
      </c>
      <c r="O105" s="14">
        <f>SUM(Tableau13[[#This Row],[Exercices d''obsevation]:[TIC]])</f>
        <v>60</v>
      </c>
      <c r="P105" s="26">
        <f>AVERAGE(Tableau13[[#This Row],[Exercices d''obsevation]:[TIC]])</f>
        <v>5.4545454545454541</v>
      </c>
      <c r="Q105" s="14">
        <f>RANK(Tableau13[[#This Row],[Moyenne]],Tableau13[Moyenne],0)</f>
        <v>103</v>
      </c>
      <c r="R105" s="28" t="str">
        <f>IF(Tableau13[[#This Row],[Moyenne]]&gt;=5,"Validé","Non Validé")</f>
        <v>Validé</v>
      </c>
    </row>
    <row r="106" spans="1:18" ht="32.25" thickBot="1" x14ac:dyDescent="0.3">
      <c r="A106" s="2">
        <v>67</v>
      </c>
      <c r="B106" s="27" t="s">
        <v>113</v>
      </c>
      <c r="C106" s="12" t="s">
        <v>142</v>
      </c>
      <c r="D106" s="14">
        <v>5</v>
      </c>
      <c r="E106" s="14">
        <v>6</v>
      </c>
      <c r="F106" s="14">
        <v>7</v>
      </c>
      <c r="G106" s="14">
        <v>3</v>
      </c>
      <c r="H106" s="14">
        <v>7</v>
      </c>
      <c r="I106" s="14">
        <v>5</v>
      </c>
      <c r="J106" s="14">
        <v>1</v>
      </c>
      <c r="K106" s="14">
        <v>4</v>
      </c>
      <c r="L106" s="34">
        <v>3</v>
      </c>
      <c r="M106" s="34">
        <v>8</v>
      </c>
      <c r="N106" s="34">
        <v>10</v>
      </c>
      <c r="O106" s="14">
        <f>SUM(Tableau13[[#This Row],[Exercices d''obsevation]:[TIC]])</f>
        <v>59</v>
      </c>
      <c r="P106" s="26">
        <f>AVERAGE(Tableau13[[#This Row],[Exercices d''obsevation]:[TIC]])</f>
        <v>5.3636363636363633</v>
      </c>
      <c r="Q106" s="14">
        <f>RANK(Tableau13[[#This Row],[Moyenne]],Tableau13[Moyenne],0)</f>
        <v>105</v>
      </c>
      <c r="R106" s="28" t="str">
        <f>IF(Tableau13[[#This Row],[Moyenne]]&gt;=5,"Validé","Non Validé")</f>
        <v>Validé</v>
      </c>
    </row>
    <row r="107" spans="1:18" ht="16.5" thickBot="1" x14ac:dyDescent="0.3">
      <c r="A107" s="2">
        <v>108</v>
      </c>
      <c r="B107" s="1" t="s">
        <v>5</v>
      </c>
      <c r="C107" s="44" t="s">
        <v>143</v>
      </c>
      <c r="D107" s="11">
        <v>8</v>
      </c>
      <c r="E107" s="11">
        <v>8</v>
      </c>
      <c r="F107" s="11">
        <v>8</v>
      </c>
      <c r="G107" s="11">
        <v>9</v>
      </c>
      <c r="H107" s="11">
        <v>2</v>
      </c>
      <c r="I107" s="11">
        <v>0</v>
      </c>
      <c r="J107" s="11">
        <v>0</v>
      </c>
      <c r="K107" s="11">
        <v>7</v>
      </c>
      <c r="L107" s="13">
        <v>0</v>
      </c>
      <c r="M107" s="13">
        <v>8</v>
      </c>
      <c r="N107" s="13">
        <v>8</v>
      </c>
      <c r="O107" s="11">
        <f>SUM(Tableau13[[#This Row],[Exercices d''obsevation]:[TIC]])</f>
        <v>58</v>
      </c>
      <c r="P107" s="25">
        <f>AVERAGE(Tableau13[[#This Row],[Exercices d''obsevation]:[TIC]])</f>
        <v>5.2727272727272725</v>
      </c>
      <c r="Q107" s="11">
        <f>RANK(Tableau13[[#This Row],[Moyenne]],Tableau13[Moyenne],0)</f>
        <v>106</v>
      </c>
      <c r="R107" s="43" t="str">
        <f>IF(Tableau13[[#This Row],[Moyenne]]&gt;=5,"Validé","Non Validé")</f>
        <v>Validé</v>
      </c>
    </row>
    <row r="108" spans="1:18" ht="16.5" thickBot="1" x14ac:dyDescent="0.3">
      <c r="A108" s="2">
        <v>83</v>
      </c>
      <c r="B108" s="9" t="s">
        <v>44</v>
      </c>
      <c r="C108" s="12" t="s">
        <v>142</v>
      </c>
      <c r="D108" s="12">
        <v>6</v>
      </c>
      <c r="E108" s="12">
        <v>9</v>
      </c>
      <c r="F108" s="12">
        <v>8</v>
      </c>
      <c r="G108" s="12">
        <v>4</v>
      </c>
      <c r="H108" s="12">
        <v>7</v>
      </c>
      <c r="I108" s="12">
        <v>3</v>
      </c>
      <c r="J108" s="12">
        <v>0</v>
      </c>
      <c r="K108" s="12">
        <v>6</v>
      </c>
      <c r="L108" s="18">
        <v>0</v>
      </c>
      <c r="M108" s="18">
        <v>8</v>
      </c>
      <c r="N108" s="18">
        <v>6</v>
      </c>
      <c r="O108" s="14">
        <f>SUM(Tableau13[[#This Row],[Exercices d''obsevation]:[TIC]])</f>
        <v>57</v>
      </c>
      <c r="P108" s="26">
        <f>AVERAGE(Tableau13[[#This Row],[Exercices d''obsevation]:[TIC]])</f>
        <v>5.1818181818181817</v>
      </c>
      <c r="Q108" s="14">
        <f>RANK(Tableau13[[#This Row],[Moyenne]],Tableau13[Moyenne],0)</f>
        <v>107</v>
      </c>
      <c r="R108" s="28" t="str">
        <f>IF(Tableau13[[#This Row],[Moyenne]]&gt;=5,"Validé","Non Validé")</f>
        <v>Validé</v>
      </c>
    </row>
    <row r="109" spans="1:18" ht="16.5" thickBot="1" x14ac:dyDescent="0.3">
      <c r="A109" s="2">
        <v>14</v>
      </c>
      <c r="B109" s="1" t="s">
        <v>129</v>
      </c>
      <c r="C109" s="44" t="s">
        <v>143</v>
      </c>
      <c r="D109" s="11">
        <v>6</v>
      </c>
      <c r="E109" s="11">
        <v>9</v>
      </c>
      <c r="F109" s="11">
        <v>7</v>
      </c>
      <c r="G109" s="11">
        <v>4</v>
      </c>
      <c r="H109" s="11">
        <v>4</v>
      </c>
      <c r="I109" s="11">
        <v>3</v>
      </c>
      <c r="J109" s="11">
        <v>0</v>
      </c>
      <c r="K109" s="11">
        <v>6</v>
      </c>
      <c r="L109" s="13">
        <v>0</v>
      </c>
      <c r="M109" s="13">
        <v>7</v>
      </c>
      <c r="N109" s="13">
        <v>10</v>
      </c>
      <c r="O109" s="11">
        <f>SUM(Tableau13[[#This Row],[Exercices d''obsevation]:[TIC]])</f>
        <v>56</v>
      </c>
      <c r="P109" s="25">
        <f>AVERAGE(Tableau13[[#This Row],[Exercices d''obsevation]:[TIC]])</f>
        <v>5.0909090909090908</v>
      </c>
      <c r="Q109" s="11">
        <f>RANK(Tableau13[[#This Row],[Moyenne]],Tableau13[Moyenne],0)</f>
        <v>108</v>
      </c>
      <c r="R109" s="43" t="str">
        <f>IF(Tableau13[[#This Row],[Moyenne]]&gt;=5,"Validé","Non Validé")</f>
        <v>Validé</v>
      </c>
    </row>
    <row r="110" spans="1:18" ht="16.5" thickBot="1" x14ac:dyDescent="0.3">
      <c r="A110" s="2">
        <v>51</v>
      </c>
      <c r="B110" s="30" t="s">
        <v>84</v>
      </c>
      <c r="C110" s="12" t="s">
        <v>142</v>
      </c>
      <c r="D110" s="31">
        <v>0</v>
      </c>
      <c r="E110" s="31">
        <v>8</v>
      </c>
      <c r="F110" s="31">
        <v>6</v>
      </c>
      <c r="G110" s="23">
        <v>5</v>
      </c>
      <c r="H110" s="31">
        <v>6</v>
      </c>
      <c r="I110" s="31">
        <v>5</v>
      </c>
      <c r="J110" s="31">
        <v>1</v>
      </c>
      <c r="K110" s="31">
        <v>6</v>
      </c>
      <c r="L110" s="45">
        <v>2</v>
      </c>
      <c r="M110" s="45">
        <v>8</v>
      </c>
      <c r="N110" s="29">
        <v>8</v>
      </c>
      <c r="O110" s="23">
        <f>SUM(Tableau13[[#This Row],[Exercices d''obsevation]:[TIC]])</f>
        <v>55</v>
      </c>
      <c r="P110" s="33">
        <f>AVERAGE(Tableau13[[#This Row],[Exercices d''obsevation]:[TIC]])</f>
        <v>5</v>
      </c>
      <c r="Q110" s="23">
        <f>RANK(Tableau13[[#This Row],[Moyenne]],Tableau13[Moyenne],0)</f>
        <v>109</v>
      </c>
      <c r="R110" s="28" t="str">
        <f>IF(Tableau13[[#This Row],[Moyenne]]&gt;=5,"Validé","Non Validé")</f>
        <v>Validé</v>
      </c>
    </row>
    <row r="111" spans="1:18" ht="16.5" thickBot="1" x14ac:dyDescent="0.3">
      <c r="A111" s="2">
        <v>18</v>
      </c>
      <c r="B111" s="1" t="s">
        <v>36</v>
      </c>
      <c r="C111" s="44" t="s">
        <v>143</v>
      </c>
      <c r="D111" s="11">
        <v>6</v>
      </c>
      <c r="E111" s="11">
        <v>4</v>
      </c>
      <c r="F111" s="11">
        <v>7</v>
      </c>
      <c r="G111" s="11">
        <v>4</v>
      </c>
      <c r="H111" s="11">
        <v>6</v>
      </c>
      <c r="I111" s="11">
        <v>4</v>
      </c>
      <c r="J111" s="11">
        <v>1</v>
      </c>
      <c r="K111" s="11">
        <v>6</v>
      </c>
      <c r="L111" s="13">
        <v>1</v>
      </c>
      <c r="M111" s="13">
        <v>5</v>
      </c>
      <c r="N111" s="13">
        <v>8</v>
      </c>
      <c r="O111" s="11">
        <f>SUM(Tableau13[[#This Row],[Exercices d''obsevation]:[TIC]])</f>
        <v>52</v>
      </c>
      <c r="P111" s="25">
        <f>AVERAGE(Tableau13[[#This Row],[Exercices d''obsevation]:[TIC]])</f>
        <v>4.7272727272727275</v>
      </c>
      <c r="Q111" s="11">
        <f>RANK(Tableau13[[#This Row],[Moyenne]],Tableau13[Moyenne],0)</f>
        <v>110</v>
      </c>
      <c r="R111" s="43" t="str">
        <f>IF(Tableau13[[#This Row],[Moyenne]]&gt;=5,"Validé","Non Validé")</f>
        <v>Non Validé</v>
      </c>
    </row>
    <row r="112" spans="1:18" ht="16.5" thickBot="1" x14ac:dyDescent="0.3">
      <c r="A112" s="2">
        <v>24</v>
      </c>
      <c r="B112" s="9" t="s">
        <v>87</v>
      </c>
      <c r="C112" s="12" t="s">
        <v>142</v>
      </c>
      <c r="D112" s="12">
        <v>6</v>
      </c>
      <c r="E112" s="12">
        <v>4</v>
      </c>
      <c r="F112" s="12">
        <v>7</v>
      </c>
      <c r="G112" s="12">
        <v>6</v>
      </c>
      <c r="H112" s="12">
        <v>5</v>
      </c>
      <c r="I112" s="12">
        <v>5</v>
      </c>
      <c r="J112" s="12">
        <v>0</v>
      </c>
      <c r="K112" s="12">
        <v>5</v>
      </c>
      <c r="L112" s="18">
        <v>1</v>
      </c>
      <c r="M112" s="18">
        <v>5</v>
      </c>
      <c r="N112" s="18">
        <v>6</v>
      </c>
      <c r="O112" s="14">
        <f>SUM(Tableau13[[#This Row],[Exercices d''obsevation]:[TIC]])</f>
        <v>50</v>
      </c>
      <c r="P112" s="26">
        <f>AVERAGE(Tableau13[[#This Row],[Exercices d''obsevation]:[TIC]])</f>
        <v>4.5454545454545459</v>
      </c>
      <c r="Q112" s="14">
        <f>RANK(Tableau13[[#This Row],[Moyenne]],Tableau13[Moyenne],0)</f>
        <v>111</v>
      </c>
      <c r="R112" s="28" t="str">
        <f>IF(Tableau13[[#This Row],[Moyenne]]&gt;=5,"Validé","Non Validé")</f>
        <v>Non Validé</v>
      </c>
    </row>
    <row r="113" spans="1:18" ht="16.5" thickBot="1" x14ac:dyDescent="0.3">
      <c r="A113" s="2">
        <v>7</v>
      </c>
      <c r="B113" s="9" t="s">
        <v>83</v>
      </c>
      <c r="C113" s="12" t="s">
        <v>142</v>
      </c>
      <c r="D113" s="12">
        <v>4</v>
      </c>
      <c r="E113" s="12">
        <v>5</v>
      </c>
      <c r="F113" s="12">
        <v>8</v>
      </c>
      <c r="G113" s="12">
        <v>6</v>
      </c>
      <c r="H113" s="12">
        <v>4</v>
      </c>
      <c r="I113" s="12">
        <v>2</v>
      </c>
      <c r="J113" s="12">
        <v>0</v>
      </c>
      <c r="K113" s="12">
        <v>3</v>
      </c>
      <c r="L113" s="18">
        <v>1</v>
      </c>
      <c r="M113" s="18">
        <v>7</v>
      </c>
      <c r="N113" s="18">
        <v>6</v>
      </c>
      <c r="O113" s="14">
        <f>SUM(Tableau13[[#This Row],[Exercices d''obsevation]:[TIC]])</f>
        <v>46</v>
      </c>
      <c r="P113" s="26">
        <f>AVERAGE(Tableau13[[#This Row],[Exercices d''obsevation]:[TIC]])</f>
        <v>4.1818181818181817</v>
      </c>
      <c r="Q113" s="14">
        <f>RANK(Tableau13[[#This Row],[Moyenne]],Tableau13[Moyenne],0)</f>
        <v>112</v>
      </c>
      <c r="R113" s="28" t="str">
        <f>IF(Tableau13[[#This Row],[Moyenne]]&gt;=5,"Validé","Non Validé")</f>
        <v>Non Validé</v>
      </c>
    </row>
    <row r="114" spans="1:18" ht="16.5" thickBot="1" x14ac:dyDescent="0.3">
      <c r="A114" s="2">
        <v>37</v>
      </c>
      <c r="B114" s="27" t="s">
        <v>125</v>
      </c>
      <c r="C114" s="12" t="s">
        <v>142</v>
      </c>
      <c r="D114" s="14">
        <v>3</v>
      </c>
      <c r="E114" s="14">
        <v>9</v>
      </c>
      <c r="F114" s="14">
        <v>8</v>
      </c>
      <c r="G114" s="14">
        <v>1</v>
      </c>
      <c r="H114" s="14">
        <v>4</v>
      </c>
      <c r="I114" s="14">
        <v>4</v>
      </c>
      <c r="J114" s="14">
        <v>1</v>
      </c>
      <c r="K114" s="14">
        <v>5</v>
      </c>
      <c r="L114" s="34">
        <v>0</v>
      </c>
      <c r="M114" s="34">
        <v>7</v>
      </c>
      <c r="N114" s="34">
        <v>4</v>
      </c>
      <c r="O114" s="14">
        <f>SUM(Tableau13[[#This Row],[Exercices d''obsevation]:[TIC]])</f>
        <v>46</v>
      </c>
      <c r="P114" s="26">
        <f>AVERAGE(Tableau13[[#This Row],[Exercices d''obsevation]:[TIC]])</f>
        <v>4.1818181818181817</v>
      </c>
      <c r="Q114" s="14">
        <f>RANK(Tableau13[[#This Row],[Moyenne]],Tableau13[Moyenne],0)</f>
        <v>112</v>
      </c>
      <c r="R114" s="28" t="str">
        <f>IF(Tableau13[[#This Row],[Moyenne]]&gt;=5,"Validé","Non Validé")</f>
        <v>Non Validé</v>
      </c>
    </row>
    <row r="115" spans="1:18" ht="16.5" thickBot="1" x14ac:dyDescent="0.3">
      <c r="A115" s="2">
        <v>19</v>
      </c>
      <c r="B115" s="9" t="s">
        <v>88</v>
      </c>
      <c r="C115" s="12" t="s">
        <v>142</v>
      </c>
      <c r="D115" s="12">
        <v>0</v>
      </c>
      <c r="E115" s="12">
        <v>1</v>
      </c>
      <c r="F115" s="12">
        <v>6</v>
      </c>
      <c r="G115" s="12">
        <v>1</v>
      </c>
      <c r="H115" s="12">
        <v>7</v>
      </c>
      <c r="I115" s="12">
        <v>8</v>
      </c>
      <c r="J115" s="12">
        <v>1</v>
      </c>
      <c r="K115" s="12">
        <v>4</v>
      </c>
      <c r="L115" s="18">
        <v>1</v>
      </c>
      <c r="M115" s="18">
        <v>6</v>
      </c>
      <c r="N115" s="18">
        <v>8</v>
      </c>
      <c r="O115" s="14">
        <f>SUM(Tableau13[[#This Row],[Exercices d''obsevation]:[TIC]])</f>
        <v>43</v>
      </c>
      <c r="P115" s="26">
        <f>AVERAGE(Tableau13[[#This Row],[Exercices d''obsevation]:[TIC]])</f>
        <v>3.9090909090909092</v>
      </c>
      <c r="Q115" s="14">
        <f>RANK(Tableau13[[#This Row],[Moyenne]],Tableau13[Moyenne],0)</f>
        <v>114</v>
      </c>
      <c r="R115" s="28" t="str">
        <f>IF(Tableau13[[#This Row],[Moyenne]]&gt;=5,"Validé","Non Validé")</f>
        <v>Non Validé</v>
      </c>
    </row>
    <row r="116" spans="1:18" ht="16.5" thickBot="1" x14ac:dyDescent="0.3">
      <c r="A116" s="2">
        <v>17</v>
      </c>
      <c r="B116" s="27" t="s">
        <v>123</v>
      </c>
      <c r="C116" s="12" t="s">
        <v>142</v>
      </c>
      <c r="D116" s="14">
        <v>0</v>
      </c>
      <c r="E116" s="14">
        <v>5</v>
      </c>
      <c r="F116" s="14">
        <v>6</v>
      </c>
      <c r="G116" s="14">
        <v>0</v>
      </c>
      <c r="H116" s="14">
        <v>6</v>
      </c>
      <c r="I116" s="14">
        <v>5</v>
      </c>
      <c r="J116" s="14">
        <v>0</v>
      </c>
      <c r="K116" s="14">
        <v>5</v>
      </c>
      <c r="L116" s="34">
        <v>4</v>
      </c>
      <c r="M116" s="34">
        <v>5</v>
      </c>
      <c r="N116" s="34">
        <v>2</v>
      </c>
      <c r="O116" s="14">
        <f>SUM(Tableau13[[#This Row],[Exercices d''obsevation]:[TIC]])</f>
        <v>38</v>
      </c>
      <c r="P116" s="26">
        <f>AVERAGE(Tableau13[[#This Row],[Exercices d''obsevation]:[TIC]])</f>
        <v>3.4545454545454546</v>
      </c>
      <c r="Q116" s="14">
        <f>RANK(Tableau13[[#This Row],[Moyenne]],Tableau13[Moyenne],0)</f>
        <v>115</v>
      </c>
      <c r="R116" s="28" t="str">
        <f>IF(Tableau13[[#This Row],[Moyenne]]&gt;=5,"Validé","Non Validé")</f>
        <v>Non Validé</v>
      </c>
    </row>
  </sheetData>
  <pageMargins left="0.7" right="0.7" top="0.75" bottom="0.75" header="0.3" footer="0.3"/>
  <pageSetup paperSize="9" orientation="portrait" horizont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01FEC-5F2D-A545-92F3-2C629170A8CB}">
  <dimension ref="A1:R116"/>
  <sheetViews>
    <sheetView tabSelected="1" topLeftCell="C94" zoomScaleNormal="60" zoomScaleSheetLayoutView="100" workbookViewId="0">
      <selection activeCell="M2" sqref="M2:M4"/>
    </sheetView>
  </sheetViews>
  <sheetFormatPr baseColWidth="10" defaultColWidth="9.140625" defaultRowHeight="15" x14ac:dyDescent="0.25"/>
  <cols>
    <col min="2" max="2" width="36.7109375" customWidth="1"/>
    <col min="3" max="3" width="8.85546875" customWidth="1"/>
    <col min="4" max="4" width="12.42578125" customWidth="1"/>
    <col min="5" max="5" width="9.140625" customWidth="1"/>
    <col min="13" max="13" width="10.140625" customWidth="1"/>
    <col min="14" max="14" width="10.5703125" customWidth="1"/>
    <col min="15" max="15" width="12.7109375" customWidth="1"/>
    <col min="16" max="16" width="10.5703125" customWidth="1"/>
    <col min="17" max="17" width="9.5703125" customWidth="1"/>
    <col min="18" max="18" width="14.140625" customWidth="1"/>
  </cols>
  <sheetData>
    <row r="1" spans="1:18" ht="51.75" customHeight="1" thickBot="1" x14ac:dyDescent="0.3">
      <c r="A1" s="4" t="s">
        <v>0</v>
      </c>
      <c r="B1" s="5" t="s">
        <v>1</v>
      </c>
      <c r="C1" s="6" t="s">
        <v>141</v>
      </c>
      <c r="D1" s="6" t="s">
        <v>90</v>
      </c>
      <c r="E1" s="6" t="s">
        <v>103</v>
      </c>
      <c r="F1" s="6" t="s">
        <v>104</v>
      </c>
      <c r="G1" s="6" t="s">
        <v>91</v>
      </c>
      <c r="H1" s="6" t="s">
        <v>99</v>
      </c>
      <c r="I1" s="6" t="s">
        <v>92</v>
      </c>
      <c r="J1" s="6" t="s">
        <v>100</v>
      </c>
      <c r="K1" s="6" t="s">
        <v>93</v>
      </c>
      <c r="L1" s="6" t="s">
        <v>101</v>
      </c>
      <c r="M1" s="6" t="s">
        <v>136</v>
      </c>
      <c r="N1" s="6" t="s">
        <v>102</v>
      </c>
      <c r="O1" s="6" t="s">
        <v>94</v>
      </c>
      <c r="P1" s="6" t="s">
        <v>95</v>
      </c>
      <c r="Q1" s="6" t="s">
        <v>96</v>
      </c>
      <c r="R1" s="6" t="s">
        <v>97</v>
      </c>
    </row>
    <row r="2" spans="1:18" ht="24.95" customHeight="1" thickBot="1" x14ac:dyDescent="0.3">
      <c r="A2" s="2">
        <v>74</v>
      </c>
      <c r="B2" s="9" t="s">
        <v>45</v>
      </c>
      <c r="C2" s="12" t="s">
        <v>142</v>
      </c>
      <c r="D2" s="12">
        <v>10</v>
      </c>
      <c r="E2" s="51">
        <v>10</v>
      </c>
      <c r="F2" s="12">
        <v>9</v>
      </c>
      <c r="G2" s="51">
        <v>10</v>
      </c>
      <c r="H2" s="12">
        <v>10</v>
      </c>
      <c r="I2" s="12">
        <v>10</v>
      </c>
      <c r="J2" s="12">
        <v>10</v>
      </c>
      <c r="K2" s="12">
        <v>8</v>
      </c>
      <c r="L2" s="12">
        <v>10</v>
      </c>
      <c r="M2" s="12">
        <v>10</v>
      </c>
      <c r="N2" s="12">
        <v>10</v>
      </c>
      <c r="O2" s="14">
        <f>SUM(Tableau135[[#This Row],[Exercices d''obsevation]:[TIC]])</f>
        <v>107</v>
      </c>
      <c r="P2" s="26">
        <f>AVERAGE(Tableau135[[#This Row],[Exercices d''obsevation]:[TIC]])</f>
        <v>9.7272727272727266</v>
      </c>
      <c r="Q2" s="14">
        <f>RANK(Tableau135[[#This Row],[Moyenne]],Tableau135[Moyenne],0)</f>
        <v>1</v>
      </c>
      <c r="R2" s="10" t="str">
        <f>IF(Tableau135[[#This Row],[Moyenne]]&lt;5,"Non Validé","Validé")</f>
        <v>Validé</v>
      </c>
    </row>
    <row r="3" spans="1:18" ht="24.95" customHeight="1" thickBot="1" x14ac:dyDescent="0.3">
      <c r="A3" s="2">
        <v>40</v>
      </c>
      <c r="B3" s="9" t="s">
        <v>3</v>
      </c>
      <c r="C3" s="12" t="s">
        <v>142</v>
      </c>
      <c r="D3" s="12">
        <v>10</v>
      </c>
      <c r="E3" s="51">
        <v>10</v>
      </c>
      <c r="F3" s="12">
        <v>9</v>
      </c>
      <c r="G3" s="51">
        <v>10</v>
      </c>
      <c r="H3" s="12">
        <v>10</v>
      </c>
      <c r="I3" s="12">
        <v>10</v>
      </c>
      <c r="J3" s="12">
        <v>8</v>
      </c>
      <c r="K3" s="12">
        <v>9</v>
      </c>
      <c r="L3" s="12">
        <v>10</v>
      </c>
      <c r="M3" s="12">
        <v>10</v>
      </c>
      <c r="N3" s="12">
        <v>10</v>
      </c>
      <c r="O3" s="14">
        <f>SUM(Tableau135[[#This Row],[Exercices d''obsevation]:[TIC]])</f>
        <v>106</v>
      </c>
      <c r="P3" s="26">
        <f>AVERAGE(Tableau135[[#This Row],[Exercices d''obsevation]:[TIC]])</f>
        <v>9.6363636363636367</v>
      </c>
      <c r="Q3" s="14">
        <f>RANK(Tableau135[[#This Row],[Moyenne]],Tableau135[Moyenne],0)</f>
        <v>2</v>
      </c>
      <c r="R3" s="10" t="str">
        <f>IF(Tableau135[[#This Row],[Moyenne]]&lt;5,"Non Validé","Validé")</f>
        <v>Validé</v>
      </c>
    </row>
    <row r="4" spans="1:18" ht="24.95" customHeight="1" thickBot="1" x14ac:dyDescent="0.3">
      <c r="A4" s="2">
        <v>75</v>
      </c>
      <c r="B4" s="9" t="s">
        <v>82</v>
      </c>
      <c r="C4" s="12" t="s">
        <v>142</v>
      </c>
      <c r="D4" s="12">
        <v>10</v>
      </c>
      <c r="E4" s="51">
        <v>10</v>
      </c>
      <c r="F4" s="12">
        <v>10</v>
      </c>
      <c r="G4" s="51">
        <v>10</v>
      </c>
      <c r="H4" s="12">
        <v>9</v>
      </c>
      <c r="I4" s="12">
        <v>10</v>
      </c>
      <c r="J4" s="12">
        <v>9</v>
      </c>
      <c r="K4" s="12">
        <v>7</v>
      </c>
      <c r="L4" s="12">
        <v>10</v>
      </c>
      <c r="M4" s="12">
        <v>10</v>
      </c>
      <c r="N4" s="12">
        <v>10</v>
      </c>
      <c r="O4" s="14">
        <f>SUM(Tableau135[[#This Row],[Exercices d''obsevation]:[TIC]])</f>
        <v>105</v>
      </c>
      <c r="P4" s="26">
        <f>AVERAGE(Tableau135[[#This Row],[Exercices d''obsevation]:[TIC]])</f>
        <v>9.545454545454545</v>
      </c>
      <c r="Q4" s="14">
        <f>RANK(Tableau135[[#This Row],[Moyenne]],Tableau135[Moyenne],0)</f>
        <v>3</v>
      </c>
      <c r="R4" s="10" t="str">
        <f>IF(Tableau135[[#This Row],[Moyenne]]&lt;5,"Non Validé","Validé")</f>
        <v>Validé</v>
      </c>
    </row>
    <row r="5" spans="1:18" ht="24.95" customHeight="1" thickBot="1" x14ac:dyDescent="0.3">
      <c r="A5" s="2">
        <v>44</v>
      </c>
      <c r="B5" s="9" t="s">
        <v>81</v>
      </c>
      <c r="C5" s="12" t="s">
        <v>142</v>
      </c>
      <c r="D5" s="12">
        <v>10</v>
      </c>
      <c r="E5" s="50">
        <v>10</v>
      </c>
      <c r="F5" s="12">
        <v>9</v>
      </c>
      <c r="G5" s="50">
        <v>9</v>
      </c>
      <c r="H5" s="12">
        <v>10</v>
      </c>
      <c r="I5" s="12">
        <v>10</v>
      </c>
      <c r="J5" s="12">
        <v>9</v>
      </c>
      <c r="K5" s="12">
        <v>9</v>
      </c>
      <c r="L5" s="12">
        <v>9</v>
      </c>
      <c r="M5" s="12">
        <v>10</v>
      </c>
      <c r="N5" s="12">
        <v>10</v>
      </c>
      <c r="O5" s="14">
        <f>SUM(Tableau135[[#This Row],[Exercices d''obsevation]:[TIC]])</f>
        <v>105</v>
      </c>
      <c r="P5" s="26">
        <f>AVERAGE(Tableau135[[#This Row],[Exercices d''obsevation]:[TIC]])</f>
        <v>9.545454545454545</v>
      </c>
      <c r="Q5" s="14">
        <f>RANK(Tableau135[[#This Row],[Moyenne]],Tableau135[Moyenne],0)</f>
        <v>3</v>
      </c>
      <c r="R5" s="10" t="str">
        <f>IF(Tableau135[[#This Row],[Moyenne]]&lt;5,"Non Validé","Validé")</f>
        <v>Validé</v>
      </c>
    </row>
    <row r="6" spans="1:18" ht="24.95" customHeight="1" thickBot="1" x14ac:dyDescent="0.3">
      <c r="A6" s="2">
        <v>1</v>
      </c>
      <c r="B6" s="1" t="s">
        <v>29</v>
      </c>
      <c r="C6" s="44" t="s">
        <v>143</v>
      </c>
      <c r="D6" s="11">
        <v>10</v>
      </c>
      <c r="E6" s="46">
        <v>10</v>
      </c>
      <c r="F6" s="11">
        <v>8</v>
      </c>
      <c r="G6" s="47">
        <v>10</v>
      </c>
      <c r="H6" s="11">
        <v>10</v>
      </c>
      <c r="I6" s="11">
        <v>10</v>
      </c>
      <c r="J6" s="11">
        <v>8</v>
      </c>
      <c r="K6" s="11">
        <v>9</v>
      </c>
      <c r="L6" s="11">
        <v>10</v>
      </c>
      <c r="M6" s="11">
        <v>10</v>
      </c>
      <c r="N6" s="11">
        <v>10</v>
      </c>
      <c r="O6" s="11">
        <f>SUM(Tableau135[[#This Row],[Exercices d''obsevation]:[TIC]])</f>
        <v>105</v>
      </c>
      <c r="P6" s="25">
        <f>AVERAGE(Tableau135[[#This Row],[Exercices d''obsevation]:[TIC]])</f>
        <v>9.545454545454545</v>
      </c>
      <c r="Q6" s="11">
        <f>RANK(Tableau135[[#This Row],[Moyenne]],Tableau135[Moyenne],0)</f>
        <v>3</v>
      </c>
      <c r="R6" s="3" t="str">
        <f>IF(Tableau135[[#This Row],[Moyenne]]&lt;5,"Non Validé","Validé")</f>
        <v>Validé</v>
      </c>
    </row>
    <row r="7" spans="1:18" ht="24.95" customHeight="1" thickBot="1" x14ac:dyDescent="0.3">
      <c r="A7" s="2">
        <v>67</v>
      </c>
      <c r="B7" s="9" t="s">
        <v>19</v>
      </c>
      <c r="C7" s="12" t="s">
        <v>142</v>
      </c>
      <c r="D7" s="12">
        <v>10</v>
      </c>
      <c r="E7" s="50">
        <v>10</v>
      </c>
      <c r="F7" s="12">
        <v>8</v>
      </c>
      <c r="G7" s="50">
        <v>10</v>
      </c>
      <c r="H7" s="12">
        <v>10</v>
      </c>
      <c r="I7" s="12">
        <v>10</v>
      </c>
      <c r="J7" s="12">
        <v>9</v>
      </c>
      <c r="K7" s="12">
        <v>10</v>
      </c>
      <c r="L7" s="12">
        <v>9</v>
      </c>
      <c r="M7" s="12">
        <v>10</v>
      </c>
      <c r="N7" s="12">
        <v>8</v>
      </c>
      <c r="O7" s="14">
        <f>SUM(Tableau135[[#This Row],[Exercices d''obsevation]:[TIC]])</f>
        <v>104</v>
      </c>
      <c r="P7" s="26">
        <f>AVERAGE(Tableau135[[#This Row],[Exercices d''obsevation]:[TIC]])</f>
        <v>9.454545454545455</v>
      </c>
      <c r="Q7" s="14">
        <f>RANK(Tableau135[[#This Row],[Moyenne]],Tableau135[Moyenne],0)</f>
        <v>6</v>
      </c>
      <c r="R7" s="10" t="str">
        <f>IF(Tableau135[[#This Row],[Moyenne]]&lt;5,"Non Validé","Validé")</f>
        <v>Validé</v>
      </c>
    </row>
    <row r="8" spans="1:18" ht="24.95" customHeight="1" thickBot="1" x14ac:dyDescent="0.3">
      <c r="A8" s="2">
        <v>76</v>
      </c>
      <c r="B8" s="1" t="s">
        <v>51</v>
      </c>
      <c r="C8" s="44" t="s">
        <v>143</v>
      </c>
      <c r="D8" s="11">
        <v>10</v>
      </c>
      <c r="E8" s="39">
        <v>10</v>
      </c>
      <c r="F8" s="11">
        <v>9</v>
      </c>
      <c r="G8" s="38">
        <v>9</v>
      </c>
      <c r="H8" s="11">
        <v>10</v>
      </c>
      <c r="I8" s="11">
        <v>10</v>
      </c>
      <c r="J8" s="11">
        <v>8</v>
      </c>
      <c r="K8" s="11">
        <v>8</v>
      </c>
      <c r="L8" s="11">
        <v>10</v>
      </c>
      <c r="M8" s="11">
        <v>10</v>
      </c>
      <c r="N8" s="11">
        <v>10</v>
      </c>
      <c r="O8" s="11">
        <f>SUM(Tableau135[[#This Row],[Exercices d''obsevation]:[TIC]])</f>
        <v>104</v>
      </c>
      <c r="P8" s="25">
        <f>AVERAGE(Tableau135[[#This Row],[Exercices d''obsevation]:[TIC]])</f>
        <v>9.454545454545455</v>
      </c>
      <c r="Q8" s="11">
        <f>RANK(Tableau135[[#This Row],[Moyenne]],Tableau135[Moyenne],0)</f>
        <v>6</v>
      </c>
      <c r="R8" s="3" t="str">
        <f>IF(Tableau135[[#This Row],[Moyenne]]&lt;5,"Non Validé","Validé")</f>
        <v>Validé</v>
      </c>
    </row>
    <row r="9" spans="1:18" ht="24.95" customHeight="1" thickBot="1" x14ac:dyDescent="0.3">
      <c r="A9" s="2">
        <v>53</v>
      </c>
      <c r="B9" s="1" t="s">
        <v>110</v>
      </c>
      <c r="C9" s="44" t="s">
        <v>143</v>
      </c>
      <c r="D9" s="11">
        <v>9</v>
      </c>
      <c r="E9" s="39">
        <v>10</v>
      </c>
      <c r="F9" s="11">
        <v>9</v>
      </c>
      <c r="G9" s="38">
        <v>10</v>
      </c>
      <c r="H9" s="11">
        <v>8</v>
      </c>
      <c r="I9" s="11">
        <v>10</v>
      </c>
      <c r="J9" s="11">
        <v>8</v>
      </c>
      <c r="K9" s="11">
        <v>8</v>
      </c>
      <c r="L9" s="11">
        <v>9</v>
      </c>
      <c r="M9" s="11">
        <v>10</v>
      </c>
      <c r="N9" s="11">
        <v>10</v>
      </c>
      <c r="O9" s="11">
        <f>SUM(Tableau135[[#This Row],[Exercices d''obsevation]:[TIC]])</f>
        <v>101</v>
      </c>
      <c r="P9" s="25">
        <f>AVERAGE(Tableau135[[#This Row],[Exercices d''obsevation]:[TIC]])</f>
        <v>9.1818181818181817</v>
      </c>
      <c r="Q9" s="11">
        <f>RANK(Tableau135[[#This Row],[Moyenne]],Tableau135[Moyenne],0)</f>
        <v>8</v>
      </c>
      <c r="R9" s="3" t="str">
        <f>IF(Tableau135[[#This Row],[Moyenne]]&lt;5,"Non Validé","Validé")</f>
        <v>Validé</v>
      </c>
    </row>
    <row r="10" spans="1:18" ht="24.95" customHeight="1" thickBot="1" x14ac:dyDescent="0.3">
      <c r="A10" s="36">
        <v>49</v>
      </c>
      <c r="B10" s="9" t="s">
        <v>111</v>
      </c>
      <c r="C10" s="12" t="s">
        <v>142</v>
      </c>
      <c r="D10" s="12">
        <v>10</v>
      </c>
      <c r="E10" s="50">
        <v>10</v>
      </c>
      <c r="F10" s="12">
        <v>8</v>
      </c>
      <c r="G10" s="50">
        <v>10</v>
      </c>
      <c r="H10" s="12">
        <v>7</v>
      </c>
      <c r="I10" s="12">
        <v>9</v>
      </c>
      <c r="J10" s="12">
        <v>9</v>
      </c>
      <c r="K10" s="12">
        <v>8</v>
      </c>
      <c r="L10" s="12">
        <v>8</v>
      </c>
      <c r="M10" s="12">
        <v>10</v>
      </c>
      <c r="N10" s="12">
        <v>10</v>
      </c>
      <c r="O10" s="12">
        <f>SUM(Tableau135[[#This Row],[Exercices d''obsevation]:[TIC]])</f>
        <v>99</v>
      </c>
      <c r="P10" s="37">
        <f>AVERAGE(Tableau135[[#This Row],[Exercices d''obsevation]:[TIC]])</f>
        <v>9</v>
      </c>
      <c r="Q10" s="12">
        <f>RANK(Tableau135[[#This Row],[Moyenne]],Tableau135[Moyenne],0)</f>
        <v>9</v>
      </c>
      <c r="R10" s="10" t="str">
        <f>IF(Tableau135[[#This Row],[Moyenne]]&lt;5,"Non Validé","Validé")</f>
        <v>Validé</v>
      </c>
    </row>
    <row r="11" spans="1:18" ht="24.95" customHeight="1" thickBot="1" x14ac:dyDescent="0.3">
      <c r="A11" s="2">
        <v>12</v>
      </c>
      <c r="B11" s="9" t="s">
        <v>38</v>
      </c>
      <c r="C11" s="12" t="s">
        <v>142</v>
      </c>
      <c r="D11" s="12">
        <v>10</v>
      </c>
      <c r="E11" s="50">
        <v>10</v>
      </c>
      <c r="F11" s="12">
        <v>8</v>
      </c>
      <c r="G11" s="50">
        <v>10</v>
      </c>
      <c r="H11" s="12">
        <v>10</v>
      </c>
      <c r="I11" s="12">
        <v>9</v>
      </c>
      <c r="J11" s="12">
        <v>5</v>
      </c>
      <c r="K11" s="12">
        <v>9</v>
      </c>
      <c r="L11" s="12">
        <v>8</v>
      </c>
      <c r="M11" s="12">
        <v>10</v>
      </c>
      <c r="N11" s="12">
        <v>10</v>
      </c>
      <c r="O11" s="14">
        <f>SUM(Tableau135[[#This Row],[Exercices d''obsevation]:[TIC]])</f>
        <v>99</v>
      </c>
      <c r="P11" s="26">
        <f>AVERAGE(Tableau135[[#This Row],[Exercices d''obsevation]:[TIC]])</f>
        <v>9</v>
      </c>
      <c r="Q11" s="14">
        <f>RANK(Tableau135[[#This Row],[Moyenne]],Tableau135[Moyenne],0)</f>
        <v>9</v>
      </c>
      <c r="R11" s="10" t="str">
        <f>IF(Tableau135[[#This Row],[Moyenne]]&lt;5,"Non Validé","Validé")</f>
        <v>Validé</v>
      </c>
    </row>
    <row r="12" spans="1:18" ht="24.95" customHeight="1" thickBot="1" x14ac:dyDescent="0.3">
      <c r="A12" s="2">
        <v>8</v>
      </c>
      <c r="B12" s="9" t="s">
        <v>12</v>
      </c>
      <c r="C12" s="12" t="s">
        <v>142</v>
      </c>
      <c r="D12" s="12">
        <v>9</v>
      </c>
      <c r="E12" s="50">
        <v>10</v>
      </c>
      <c r="F12" s="12">
        <v>8</v>
      </c>
      <c r="G12" s="50">
        <v>10</v>
      </c>
      <c r="H12" s="12">
        <v>10</v>
      </c>
      <c r="I12" s="12">
        <v>10</v>
      </c>
      <c r="J12" s="12">
        <v>5</v>
      </c>
      <c r="K12" s="12">
        <v>9</v>
      </c>
      <c r="L12" s="12">
        <v>8</v>
      </c>
      <c r="M12" s="12">
        <v>10</v>
      </c>
      <c r="N12" s="12">
        <v>10</v>
      </c>
      <c r="O12" s="14">
        <f>SUM(Tableau135[[#This Row],[Exercices d''obsevation]:[TIC]])</f>
        <v>99</v>
      </c>
      <c r="P12" s="26">
        <f>AVERAGE(Tableau135[[#This Row],[Exercices d''obsevation]:[TIC]])</f>
        <v>9</v>
      </c>
      <c r="Q12" s="14">
        <f>RANK(Tableau135[[#This Row],[Moyenne]],Tableau135[Moyenne],0)</f>
        <v>9</v>
      </c>
      <c r="R12" s="10" t="str">
        <f>IF(Tableau135[[#This Row],[Moyenne]]&lt;5,"Non Validé","Validé")</f>
        <v>Validé</v>
      </c>
    </row>
    <row r="13" spans="1:18" ht="24.95" customHeight="1" thickBot="1" x14ac:dyDescent="0.3">
      <c r="A13" s="2">
        <v>73</v>
      </c>
      <c r="B13" s="1" t="s">
        <v>7</v>
      </c>
      <c r="C13" s="44" t="s">
        <v>143</v>
      </c>
      <c r="D13" s="11">
        <v>7</v>
      </c>
      <c r="E13" s="39">
        <v>10</v>
      </c>
      <c r="F13" s="11">
        <v>9</v>
      </c>
      <c r="G13" s="38">
        <v>9</v>
      </c>
      <c r="H13" s="11">
        <v>9</v>
      </c>
      <c r="I13" s="11">
        <v>9</v>
      </c>
      <c r="J13" s="11">
        <v>6</v>
      </c>
      <c r="K13" s="11">
        <v>9</v>
      </c>
      <c r="L13" s="11">
        <v>10</v>
      </c>
      <c r="M13" s="11">
        <v>10</v>
      </c>
      <c r="N13" s="11">
        <v>10</v>
      </c>
      <c r="O13" s="11">
        <f>SUM(Tableau135[[#This Row],[Exercices d''obsevation]:[TIC]])</f>
        <v>98</v>
      </c>
      <c r="P13" s="25">
        <f>AVERAGE(Tableau135[[#This Row],[Exercices d''obsevation]:[TIC]])</f>
        <v>8.9090909090909083</v>
      </c>
      <c r="Q13" s="11">
        <f>RANK(Tableau135[[#This Row],[Moyenne]],Tableau135[Moyenne],0)</f>
        <v>12</v>
      </c>
      <c r="R13" s="3" t="str">
        <f>IF(Tableau135[[#This Row],[Moyenne]]&lt;5,"Non Validé","Validé")</f>
        <v>Validé</v>
      </c>
    </row>
    <row r="14" spans="1:18" ht="24.95" customHeight="1" thickBot="1" x14ac:dyDescent="0.3">
      <c r="A14" s="2">
        <v>42</v>
      </c>
      <c r="B14" s="9" t="s">
        <v>23</v>
      </c>
      <c r="C14" s="12" t="s">
        <v>142</v>
      </c>
      <c r="D14" s="12">
        <v>10</v>
      </c>
      <c r="E14" s="50">
        <v>10</v>
      </c>
      <c r="F14" s="12">
        <v>7</v>
      </c>
      <c r="G14" s="50">
        <v>8</v>
      </c>
      <c r="H14" s="12">
        <v>10</v>
      </c>
      <c r="I14" s="12">
        <v>10</v>
      </c>
      <c r="J14" s="12">
        <v>6</v>
      </c>
      <c r="K14" s="12">
        <v>7</v>
      </c>
      <c r="L14" s="12">
        <v>10</v>
      </c>
      <c r="M14" s="12">
        <v>10</v>
      </c>
      <c r="N14" s="12">
        <v>10</v>
      </c>
      <c r="O14" s="14">
        <f>SUM(Tableau135[[#This Row],[Exercices d''obsevation]:[TIC]])</f>
        <v>98</v>
      </c>
      <c r="P14" s="26">
        <f>AVERAGE(Tableau135[[#This Row],[Exercices d''obsevation]:[TIC]])</f>
        <v>8.9090909090909083</v>
      </c>
      <c r="Q14" s="14">
        <f>RANK(Tableau135[[#This Row],[Moyenne]],Tableau135[Moyenne],0)</f>
        <v>12</v>
      </c>
      <c r="R14" s="10" t="str">
        <f>IF(Tableau135[[#This Row],[Moyenne]]&lt;5,"Non Validé","Validé")</f>
        <v>Validé</v>
      </c>
    </row>
    <row r="15" spans="1:18" ht="24.95" customHeight="1" thickBot="1" x14ac:dyDescent="0.3">
      <c r="A15" s="2">
        <v>91</v>
      </c>
      <c r="B15" s="1" t="s">
        <v>132</v>
      </c>
      <c r="C15" s="44" t="s">
        <v>143</v>
      </c>
      <c r="D15" s="11">
        <v>10</v>
      </c>
      <c r="E15" s="39">
        <v>10</v>
      </c>
      <c r="F15" s="11">
        <v>8</v>
      </c>
      <c r="G15" s="38">
        <v>7</v>
      </c>
      <c r="H15" s="11">
        <v>8</v>
      </c>
      <c r="I15" s="11">
        <v>10</v>
      </c>
      <c r="J15" s="11">
        <v>8</v>
      </c>
      <c r="K15" s="11">
        <v>8</v>
      </c>
      <c r="L15" s="11">
        <v>10</v>
      </c>
      <c r="M15" s="11">
        <v>8</v>
      </c>
      <c r="N15" s="11">
        <v>10</v>
      </c>
      <c r="O15" s="11">
        <f>SUM(Tableau135[[#This Row],[Exercices d''obsevation]:[TIC]])</f>
        <v>97</v>
      </c>
      <c r="P15" s="25">
        <f>AVERAGE(Tableau135[[#This Row],[Exercices d''obsevation]:[TIC]])</f>
        <v>8.8181818181818183</v>
      </c>
      <c r="Q15" s="11">
        <f>RANK(Tableau135[[#This Row],[Moyenne]],Tableau135[Moyenne],0)</f>
        <v>14</v>
      </c>
      <c r="R15" s="3" t="str">
        <f>IF(Tableau135[[#This Row],[Moyenne]]&lt;5,"Non Validé","Validé")</f>
        <v>Validé</v>
      </c>
    </row>
    <row r="16" spans="1:18" ht="24.95" customHeight="1" thickBot="1" x14ac:dyDescent="0.3">
      <c r="A16" s="2">
        <v>81</v>
      </c>
      <c r="B16" s="1" t="s">
        <v>68</v>
      </c>
      <c r="C16" s="44" t="s">
        <v>143</v>
      </c>
      <c r="D16" s="11">
        <v>10</v>
      </c>
      <c r="E16" s="46">
        <v>10</v>
      </c>
      <c r="F16" s="11">
        <v>8</v>
      </c>
      <c r="G16" s="47">
        <v>10</v>
      </c>
      <c r="H16" s="11">
        <v>8</v>
      </c>
      <c r="I16" s="11">
        <v>8</v>
      </c>
      <c r="J16" s="11">
        <v>9</v>
      </c>
      <c r="K16" s="11">
        <v>8</v>
      </c>
      <c r="L16" s="11">
        <v>10</v>
      </c>
      <c r="M16" s="11">
        <v>10</v>
      </c>
      <c r="N16" s="11">
        <v>6</v>
      </c>
      <c r="O16" s="11">
        <f>SUM(Tableau135[[#This Row],[Exercices d''obsevation]:[TIC]])</f>
        <v>97</v>
      </c>
      <c r="P16" s="25">
        <f>AVERAGE(Tableau135[[#This Row],[Exercices d''obsevation]:[TIC]])</f>
        <v>8.8181818181818183</v>
      </c>
      <c r="Q16" s="11">
        <f>RANK(Tableau135[[#This Row],[Moyenne]],Tableau135[Moyenne],0)</f>
        <v>14</v>
      </c>
      <c r="R16" s="3" t="str">
        <f>IF(Tableau135[[#This Row],[Moyenne]]&lt;5,"Non Validé","Validé")</f>
        <v>Validé</v>
      </c>
    </row>
    <row r="17" spans="1:18" ht="24.95" customHeight="1" thickBot="1" x14ac:dyDescent="0.3">
      <c r="A17" s="2">
        <v>41</v>
      </c>
      <c r="B17" s="9" t="s">
        <v>22</v>
      </c>
      <c r="C17" s="12" t="s">
        <v>142</v>
      </c>
      <c r="D17" s="12">
        <v>10</v>
      </c>
      <c r="E17" s="50">
        <v>10</v>
      </c>
      <c r="F17" s="12">
        <v>8</v>
      </c>
      <c r="G17" s="50">
        <v>10</v>
      </c>
      <c r="H17" s="12">
        <v>8</v>
      </c>
      <c r="I17" s="12">
        <v>8</v>
      </c>
      <c r="J17" s="12">
        <v>8</v>
      </c>
      <c r="K17" s="12">
        <v>7</v>
      </c>
      <c r="L17" s="12">
        <v>8</v>
      </c>
      <c r="M17" s="12">
        <v>10</v>
      </c>
      <c r="N17" s="12">
        <v>10</v>
      </c>
      <c r="O17" s="14">
        <f>SUM(Tableau135[[#This Row],[Exercices d''obsevation]:[TIC]])</f>
        <v>97</v>
      </c>
      <c r="P17" s="26">
        <f>AVERAGE(Tableau135[[#This Row],[Exercices d''obsevation]:[TIC]])</f>
        <v>8.8181818181818183</v>
      </c>
      <c r="Q17" s="14">
        <f>RANK(Tableau135[[#This Row],[Moyenne]],Tableau135[Moyenne],0)</f>
        <v>14</v>
      </c>
      <c r="R17" s="10" t="str">
        <f>IF(Tableau135[[#This Row],[Moyenne]]&lt;5,"Non Validé","Validé")</f>
        <v>Validé</v>
      </c>
    </row>
    <row r="18" spans="1:18" ht="24.95" customHeight="1" thickBot="1" x14ac:dyDescent="0.3">
      <c r="A18" s="2">
        <v>47</v>
      </c>
      <c r="B18" s="9" t="s">
        <v>46</v>
      </c>
      <c r="C18" s="12" t="s">
        <v>142</v>
      </c>
      <c r="D18" s="12">
        <v>7</v>
      </c>
      <c r="E18" s="50">
        <v>10</v>
      </c>
      <c r="F18" s="12">
        <v>9</v>
      </c>
      <c r="G18" s="50">
        <v>10</v>
      </c>
      <c r="H18" s="12">
        <v>9</v>
      </c>
      <c r="I18" s="12">
        <v>9</v>
      </c>
      <c r="J18" s="12">
        <v>7</v>
      </c>
      <c r="K18" s="12">
        <v>6</v>
      </c>
      <c r="L18" s="12">
        <v>10</v>
      </c>
      <c r="M18" s="12">
        <v>10</v>
      </c>
      <c r="N18" s="49">
        <v>10</v>
      </c>
      <c r="O18" s="14">
        <f>SUM(Tableau135[[#This Row],[Exercices d''obsevation]:[TIC]])</f>
        <v>97</v>
      </c>
      <c r="P18" s="26">
        <f>AVERAGE(Tableau135[[#This Row],[Exercices d''obsevation]:[TIC]])</f>
        <v>8.8181818181818183</v>
      </c>
      <c r="Q18" s="14">
        <f>RANK(Tableau135[[#This Row],[Moyenne]],Tableau135[Moyenne],0)</f>
        <v>14</v>
      </c>
      <c r="R18" s="10" t="str">
        <f>IF(Tableau135[[#This Row],[Moyenne]]&lt;5,"Non Validé","Validé")</f>
        <v>Validé</v>
      </c>
    </row>
    <row r="19" spans="1:18" ht="24.95" customHeight="1" thickBot="1" x14ac:dyDescent="0.3">
      <c r="A19" s="2">
        <v>3</v>
      </c>
      <c r="B19" s="9" t="s">
        <v>50</v>
      </c>
      <c r="C19" s="12" t="s">
        <v>142</v>
      </c>
      <c r="D19" s="12">
        <v>7</v>
      </c>
      <c r="E19" s="50">
        <v>10</v>
      </c>
      <c r="F19" s="12">
        <v>7</v>
      </c>
      <c r="G19" s="50">
        <v>10</v>
      </c>
      <c r="H19" s="12">
        <v>7</v>
      </c>
      <c r="I19" s="12">
        <v>10</v>
      </c>
      <c r="J19" s="12">
        <v>9</v>
      </c>
      <c r="K19" s="12">
        <v>7</v>
      </c>
      <c r="L19" s="12">
        <v>9</v>
      </c>
      <c r="M19" s="12">
        <v>10</v>
      </c>
      <c r="N19" s="49">
        <v>10</v>
      </c>
      <c r="O19" s="14">
        <f>SUM(Tableau135[[#This Row],[Exercices d''obsevation]:[TIC]])</f>
        <v>96</v>
      </c>
      <c r="P19" s="26">
        <f>AVERAGE(Tableau135[[#This Row],[Exercices d''obsevation]:[TIC]])</f>
        <v>8.7272727272727266</v>
      </c>
      <c r="Q19" s="14">
        <f>RANK(Tableau135[[#This Row],[Moyenne]],Tableau135[Moyenne],0)</f>
        <v>18</v>
      </c>
      <c r="R19" s="10" t="str">
        <f>IF(Tableau135[[#This Row],[Moyenne]]&lt;5,"Non Validé","Validé")</f>
        <v>Validé</v>
      </c>
    </row>
    <row r="20" spans="1:18" ht="24.95" customHeight="1" thickBot="1" x14ac:dyDescent="0.3">
      <c r="A20" s="2">
        <v>11</v>
      </c>
      <c r="B20" s="9" t="s">
        <v>73</v>
      </c>
      <c r="C20" s="12" t="s">
        <v>142</v>
      </c>
      <c r="D20" s="12">
        <v>8</v>
      </c>
      <c r="E20" s="51">
        <v>10</v>
      </c>
      <c r="F20" s="12">
        <v>8</v>
      </c>
      <c r="G20" s="51">
        <v>10</v>
      </c>
      <c r="H20" s="12">
        <v>9</v>
      </c>
      <c r="I20" s="12">
        <v>10</v>
      </c>
      <c r="J20" s="12">
        <v>6</v>
      </c>
      <c r="K20" s="12">
        <v>6</v>
      </c>
      <c r="L20" s="12">
        <v>10</v>
      </c>
      <c r="M20" s="12">
        <v>10</v>
      </c>
      <c r="N20" s="49">
        <v>8</v>
      </c>
      <c r="O20" s="14">
        <f>SUM(Tableau135[[#This Row],[Exercices d''obsevation]:[TIC]])</f>
        <v>95</v>
      </c>
      <c r="P20" s="26">
        <f>AVERAGE(Tableau135[[#This Row],[Exercices d''obsevation]:[TIC]])</f>
        <v>8.6363636363636367</v>
      </c>
      <c r="Q20" s="14">
        <f>RANK(Tableau135[[#This Row],[Moyenne]],Tableau135[Moyenne],0)</f>
        <v>19</v>
      </c>
      <c r="R20" s="10" t="str">
        <f>IF(Tableau135[[#This Row],[Moyenne]]&lt;5,"Non Validé","Validé")</f>
        <v>Validé</v>
      </c>
    </row>
    <row r="21" spans="1:18" ht="24.95" customHeight="1" thickBot="1" x14ac:dyDescent="0.3">
      <c r="A21" s="2">
        <v>97</v>
      </c>
      <c r="B21" s="9" t="s">
        <v>18</v>
      </c>
      <c r="C21" s="12" t="s">
        <v>142</v>
      </c>
      <c r="D21" s="12">
        <v>10</v>
      </c>
      <c r="E21" s="50">
        <v>10</v>
      </c>
      <c r="F21" s="12">
        <v>8</v>
      </c>
      <c r="G21" s="50">
        <v>10</v>
      </c>
      <c r="H21" s="12">
        <v>10</v>
      </c>
      <c r="I21" s="12">
        <v>9</v>
      </c>
      <c r="J21" s="12">
        <v>4</v>
      </c>
      <c r="K21" s="12">
        <v>7</v>
      </c>
      <c r="L21" s="12">
        <v>8</v>
      </c>
      <c r="M21" s="12">
        <v>10</v>
      </c>
      <c r="N21" s="49">
        <v>9</v>
      </c>
      <c r="O21" s="14">
        <f>SUM(Tableau135[[#This Row],[Exercices d''obsevation]:[TIC]])</f>
        <v>95</v>
      </c>
      <c r="P21" s="26">
        <f>AVERAGE(Tableau135[[#This Row],[Exercices d''obsevation]:[TIC]])</f>
        <v>8.6363636363636367</v>
      </c>
      <c r="Q21" s="14">
        <f>RANK(Tableau135[[#This Row],[Moyenne]],Tableau135[Moyenne],0)</f>
        <v>19</v>
      </c>
      <c r="R21" s="10" t="str">
        <f>IF(Tableau135[[#This Row],[Moyenne]]&lt;5,"Non Validé","Validé")</f>
        <v>Validé</v>
      </c>
    </row>
    <row r="22" spans="1:18" ht="24.95" customHeight="1" thickBot="1" x14ac:dyDescent="0.3">
      <c r="A22" s="2">
        <v>105</v>
      </c>
      <c r="B22" s="9" t="s">
        <v>8</v>
      </c>
      <c r="C22" s="12" t="s">
        <v>142</v>
      </c>
      <c r="D22" s="12">
        <v>10</v>
      </c>
      <c r="E22" s="50">
        <v>10</v>
      </c>
      <c r="F22" s="12">
        <v>8</v>
      </c>
      <c r="G22" s="50">
        <v>10</v>
      </c>
      <c r="H22" s="12">
        <v>8</v>
      </c>
      <c r="I22" s="12">
        <v>8</v>
      </c>
      <c r="J22" s="12">
        <v>8</v>
      </c>
      <c r="K22" s="12">
        <v>8</v>
      </c>
      <c r="L22" s="12">
        <v>5</v>
      </c>
      <c r="M22" s="12">
        <v>10</v>
      </c>
      <c r="N22" s="49">
        <v>10</v>
      </c>
      <c r="O22" s="14">
        <f>SUM(Tableau135[[#This Row],[Exercices d''obsevation]:[TIC]])</f>
        <v>95</v>
      </c>
      <c r="P22" s="26">
        <f>AVERAGE(Tableau135[[#This Row],[Exercices d''obsevation]:[TIC]])</f>
        <v>8.6363636363636367</v>
      </c>
      <c r="Q22" s="14">
        <f>RANK(Tableau135[[#This Row],[Moyenne]],Tableau135[Moyenne],0)</f>
        <v>19</v>
      </c>
      <c r="R22" s="10" t="str">
        <f>IF(Tableau135[[#This Row],[Moyenne]]&lt;5,"Non Validé","Validé")</f>
        <v>Validé</v>
      </c>
    </row>
    <row r="23" spans="1:18" ht="24.95" customHeight="1" thickBot="1" x14ac:dyDescent="0.3">
      <c r="A23" s="2">
        <v>82</v>
      </c>
      <c r="B23" s="1" t="s">
        <v>48</v>
      </c>
      <c r="C23" s="44" t="s">
        <v>143</v>
      </c>
      <c r="D23" s="11">
        <v>10</v>
      </c>
      <c r="E23" s="46">
        <v>8</v>
      </c>
      <c r="F23" s="11">
        <v>9</v>
      </c>
      <c r="G23" s="47">
        <v>10</v>
      </c>
      <c r="H23" s="11">
        <v>7</v>
      </c>
      <c r="I23" s="11">
        <v>8</v>
      </c>
      <c r="J23" s="11">
        <v>5</v>
      </c>
      <c r="K23" s="11">
        <v>8</v>
      </c>
      <c r="L23" s="11">
        <v>9</v>
      </c>
      <c r="M23" s="11">
        <v>10</v>
      </c>
      <c r="N23" s="48">
        <v>10</v>
      </c>
      <c r="O23" s="11">
        <f>SUM(Tableau135[[#This Row],[Exercices d''obsevation]:[TIC]])</f>
        <v>94</v>
      </c>
      <c r="P23" s="25">
        <f>AVERAGE(Tableau135[[#This Row],[Exercices d''obsevation]:[TIC]])</f>
        <v>8.545454545454545</v>
      </c>
      <c r="Q23" s="11">
        <f>RANK(Tableau135[[#This Row],[Moyenne]],Tableau135[Moyenne],0)</f>
        <v>22</v>
      </c>
      <c r="R23" s="3" t="str">
        <f>IF(Tableau135[[#This Row],[Moyenne]]&lt;5,"Non Validé","Validé")</f>
        <v>Validé</v>
      </c>
    </row>
    <row r="24" spans="1:18" ht="24.95" customHeight="1" thickBot="1" x14ac:dyDescent="0.3">
      <c r="A24" s="2">
        <v>6</v>
      </c>
      <c r="B24" s="1" t="s">
        <v>56</v>
      </c>
      <c r="C24" s="44" t="s">
        <v>143</v>
      </c>
      <c r="D24" s="11">
        <v>10</v>
      </c>
      <c r="E24" s="39">
        <v>10</v>
      </c>
      <c r="F24" s="11">
        <v>9</v>
      </c>
      <c r="G24" s="38">
        <v>9</v>
      </c>
      <c r="H24" s="11">
        <v>8</v>
      </c>
      <c r="I24" s="11">
        <v>8</v>
      </c>
      <c r="J24" s="11">
        <v>9</v>
      </c>
      <c r="K24" s="11">
        <v>5</v>
      </c>
      <c r="L24" s="11">
        <v>6</v>
      </c>
      <c r="M24" s="11">
        <v>10</v>
      </c>
      <c r="N24" s="48">
        <v>10</v>
      </c>
      <c r="O24" s="11">
        <f>SUM(Tableau135[[#This Row],[Exercices d''obsevation]:[TIC]])</f>
        <v>94</v>
      </c>
      <c r="P24" s="25">
        <f>AVERAGE(Tableau135[[#This Row],[Exercices d''obsevation]:[TIC]])</f>
        <v>8.545454545454545</v>
      </c>
      <c r="Q24" s="11">
        <f>RANK(Tableau135[[#This Row],[Moyenne]],Tableau135[Moyenne],0)</f>
        <v>22</v>
      </c>
      <c r="R24" s="3" t="str">
        <f>IF(Tableau135[[#This Row],[Moyenne]]&lt;5,"Non Validé","Validé")</f>
        <v>Validé</v>
      </c>
    </row>
    <row r="25" spans="1:18" ht="24.95" customHeight="1" thickBot="1" x14ac:dyDescent="0.3">
      <c r="A25" s="2">
        <v>64</v>
      </c>
      <c r="B25" s="9" t="s">
        <v>24</v>
      </c>
      <c r="C25" s="12" t="s">
        <v>142</v>
      </c>
      <c r="D25" s="12">
        <v>9</v>
      </c>
      <c r="E25" s="50">
        <v>10</v>
      </c>
      <c r="F25" s="12">
        <v>8</v>
      </c>
      <c r="G25" s="50">
        <v>10</v>
      </c>
      <c r="H25" s="12">
        <v>9</v>
      </c>
      <c r="I25" s="12">
        <v>9</v>
      </c>
      <c r="J25" s="12">
        <v>9</v>
      </c>
      <c r="K25" s="12">
        <v>7</v>
      </c>
      <c r="L25" s="12">
        <v>5</v>
      </c>
      <c r="M25" s="12">
        <v>8</v>
      </c>
      <c r="N25" s="41">
        <v>8</v>
      </c>
      <c r="O25" s="14">
        <f>SUM(Tableau135[[#This Row],[Exercices d''obsevation]:[TIC]])</f>
        <v>92</v>
      </c>
      <c r="P25" s="26">
        <f>AVERAGE(Tableau135[[#This Row],[Exercices d''obsevation]:[TIC]])</f>
        <v>8.3636363636363633</v>
      </c>
      <c r="Q25" s="14">
        <f>RANK(Tableau135[[#This Row],[Moyenne]],Tableau135[Moyenne],0)</f>
        <v>24</v>
      </c>
      <c r="R25" s="10" t="str">
        <f>IF(Tableau135[[#This Row],[Moyenne]]&lt;5,"Non Validé","Validé")</f>
        <v>Validé</v>
      </c>
    </row>
    <row r="26" spans="1:18" ht="24.95" customHeight="1" thickBot="1" x14ac:dyDescent="0.3">
      <c r="A26" s="2">
        <v>13</v>
      </c>
      <c r="B26" s="9" t="s">
        <v>138</v>
      </c>
      <c r="C26" s="12" t="s">
        <v>142</v>
      </c>
      <c r="D26" s="12">
        <v>10</v>
      </c>
      <c r="E26" s="50">
        <v>10</v>
      </c>
      <c r="F26" s="12">
        <v>9</v>
      </c>
      <c r="G26" s="50">
        <v>10</v>
      </c>
      <c r="H26" s="12">
        <v>9</v>
      </c>
      <c r="I26" s="12">
        <v>6</v>
      </c>
      <c r="J26" s="12">
        <v>6</v>
      </c>
      <c r="K26" s="12">
        <v>6</v>
      </c>
      <c r="L26" s="12">
        <v>6</v>
      </c>
      <c r="M26" s="12">
        <v>10</v>
      </c>
      <c r="N26" s="49">
        <v>10</v>
      </c>
      <c r="O26" s="14">
        <f>SUM(Tableau135[[#This Row],[Exercices d''obsevation]:[TIC]])</f>
        <v>92</v>
      </c>
      <c r="P26" s="26">
        <f>AVERAGE(Tableau135[[#This Row],[Exercices d''obsevation]:[TIC]])</f>
        <v>8.3636363636363633</v>
      </c>
      <c r="Q26" s="14">
        <f>RANK(Tableau135[[#This Row],[Moyenne]],Tableau135[Moyenne],0)</f>
        <v>24</v>
      </c>
      <c r="R26" s="10" t="str">
        <f>IF(Tableau135[[#This Row],[Moyenne]]&lt;5,"Non Validé","Validé")</f>
        <v>Validé</v>
      </c>
    </row>
    <row r="27" spans="1:18" ht="24.95" customHeight="1" thickBot="1" x14ac:dyDescent="0.3">
      <c r="A27" s="2">
        <v>114</v>
      </c>
      <c r="B27" s="9" t="s">
        <v>2</v>
      </c>
      <c r="C27" s="12" t="s">
        <v>142</v>
      </c>
      <c r="D27" s="12">
        <v>9</v>
      </c>
      <c r="E27" s="49">
        <v>10</v>
      </c>
      <c r="F27" s="12">
        <v>9</v>
      </c>
      <c r="G27" s="49">
        <v>9</v>
      </c>
      <c r="H27" s="12">
        <v>8</v>
      </c>
      <c r="I27" s="12">
        <v>8</v>
      </c>
      <c r="J27" s="12">
        <v>4</v>
      </c>
      <c r="K27" s="12">
        <v>7</v>
      </c>
      <c r="L27" s="12">
        <v>8</v>
      </c>
      <c r="M27" s="12">
        <v>10</v>
      </c>
      <c r="N27" s="49">
        <v>10</v>
      </c>
      <c r="O27" s="14">
        <f>SUM(Tableau135[[#This Row],[Exercices d''obsevation]:[TIC]])</f>
        <v>92</v>
      </c>
      <c r="P27" s="26">
        <f>AVERAGE(Tableau135[[#This Row],[Exercices d''obsevation]:[TIC]])</f>
        <v>8.3636363636363633</v>
      </c>
      <c r="Q27" s="14">
        <f>RANK(Tableau135[[#This Row],[Moyenne]],Tableau135[Moyenne],0)</f>
        <v>24</v>
      </c>
      <c r="R27" s="10" t="str">
        <f>IF(Tableau135[[#This Row],[Moyenne]]&lt;5,"Non Validé","Validé")</f>
        <v>Validé</v>
      </c>
    </row>
    <row r="28" spans="1:18" ht="24.95" customHeight="1" thickBot="1" x14ac:dyDescent="0.3">
      <c r="A28" s="2">
        <v>79</v>
      </c>
      <c r="B28" s="9" t="s">
        <v>25</v>
      </c>
      <c r="C28" s="12" t="s">
        <v>142</v>
      </c>
      <c r="D28" s="12">
        <v>10</v>
      </c>
      <c r="E28" s="50">
        <v>10</v>
      </c>
      <c r="F28" s="12">
        <v>9</v>
      </c>
      <c r="G28" s="50">
        <v>9</v>
      </c>
      <c r="H28" s="12">
        <v>10</v>
      </c>
      <c r="I28" s="12">
        <v>8</v>
      </c>
      <c r="J28" s="12">
        <v>5</v>
      </c>
      <c r="K28" s="12">
        <v>5</v>
      </c>
      <c r="L28" s="12">
        <v>6</v>
      </c>
      <c r="M28" s="12">
        <v>10</v>
      </c>
      <c r="N28" s="41">
        <v>10</v>
      </c>
      <c r="O28" s="14">
        <f>SUM(Tableau135[[#This Row],[Exercices d''obsevation]:[TIC]])</f>
        <v>92</v>
      </c>
      <c r="P28" s="26">
        <f>AVERAGE(Tableau135[[#This Row],[Exercices d''obsevation]:[TIC]])</f>
        <v>8.3636363636363633</v>
      </c>
      <c r="Q28" s="14">
        <f>RANK(Tableau135[[#This Row],[Moyenne]],Tableau135[Moyenne],0)</f>
        <v>24</v>
      </c>
      <c r="R28" s="10" t="str">
        <f>IF(Tableau135[[#This Row],[Moyenne]]&lt;5,"Non Validé","Validé")</f>
        <v>Validé</v>
      </c>
    </row>
    <row r="29" spans="1:18" ht="24.95" customHeight="1" thickBot="1" x14ac:dyDescent="0.3">
      <c r="A29" s="2">
        <v>108</v>
      </c>
      <c r="B29" s="1" t="s">
        <v>5</v>
      </c>
      <c r="C29" s="44" t="s">
        <v>143</v>
      </c>
      <c r="D29" s="11">
        <v>7</v>
      </c>
      <c r="E29" s="39">
        <v>10</v>
      </c>
      <c r="F29" s="11">
        <v>8</v>
      </c>
      <c r="G29" s="38">
        <v>7</v>
      </c>
      <c r="H29" s="11">
        <v>8</v>
      </c>
      <c r="I29" s="11">
        <v>9</v>
      </c>
      <c r="J29" s="11">
        <v>8</v>
      </c>
      <c r="K29" s="11">
        <v>6</v>
      </c>
      <c r="L29" s="11">
        <v>9</v>
      </c>
      <c r="M29" s="11">
        <v>10</v>
      </c>
      <c r="N29" s="40">
        <v>10</v>
      </c>
      <c r="O29" s="11">
        <f>SUM(Tableau135[[#This Row],[Exercices d''obsevation]:[TIC]])</f>
        <v>92</v>
      </c>
      <c r="P29" s="25">
        <f>AVERAGE(Tableau135[[#This Row],[Exercices d''obsevation]:[TIC]])</f>
        <v>8.3636363636363633</v>
      </c>
      <c r="Q29" s="11">
        <f>RANK(Tableau135[[#This Row],[Moyenne]],Tableau135[Moyenne],0)</f>
        <v>24</v>
      </c>
      <c r="R29" s="3" t="str">
        <f>IF(Tableau135[[#This Row],[Moyenne]]&lt;5,"Non Validé","Validé")</f>
        <v>Validé</v>
      </c>
    </row>
    <row r="30" spans="1:18" ht="24.95" customHeight="1" thickBot="1" x14ac:dyDescent="0.3">
      <c r="A30" s="2">
        <v>4</v>
      </c>
      <c r="B30" s="1" t="s">
        <v>27</v>
      </c>
      <c r="C30" s="44" t="s">
        <v>143</v>
      </c>
      <c r="D30" s="11">
        <v>8</v>
      </c>
      <c r="E30" s="39">
        <v>10</v>
      </c>
      <c r="F30" s="11">
        <v>8</v>
      </c>
      <c r="G30" s="38">
        <v>9</v>
      </c>
      <c r="H30" s="11">
        <v>8</v>
      </c>
      <c r="I30" s="11">
        <v>10</v>
      </c>
      <c r="J30" s="11">
        <v>3</v>
      </c>
      <c r="K30" s="11">
        <v>8</v>
      </c>
      <c r="L30" s="11">
        <v>8</v>
      </c>
      <c r="M30" s="11">
        <v>10</v>
      </c>
      <c r="N30" s="48">
        <v>10</v>
      </c>
      <c r="O30" s="11">
        <f>SUM(Tableau135[[#This Row],[Exercices d''obsevation]:[TIC]])</f>
        <v>92</v>
      </c>
      <c r="P30" s="25">
        <f>AVERAGE(Tableau135[[#This Row],[Exercices d''obsevation]:[TIC]])</f>
        <v>8.3636363636363633</v>
      </c>
      <c r="Q30" s="11">
        <f>RANK(Tableau135[[#This Row],[Moyenne]],Tableau135[Moyenne],0)</f>
        <v>24</v>
      </c>
      <c r="R30" s="3" t="str">
        <f>IF(Tableau135[[#This Row],[Moyenne]]&lt;5,"Non Validé","Validé")</f>
        <v>Validé</v>
      </c>
    </row>
    <row r="31" spans="1:18" ht="24.95" customHeight="1" thickBot="1" x14ac:dyDescent="0.3">
      <c r="A31" s="2">
        <v>69</v>
      </c>
      <c r="B31" s="9" t="s">
        <v>55</v>
      </c>
      <c r="C31" s="12" t="s">
        <v>142</v>
      </c>
      <c r="D31" s="12">
        <v>9</v>
      </c>
      <c r="E31" s="50">
        <v>10</v>
      </c>
      <c r="F31" s="12">
        <v>8</v>
      </c>
      <c r="G31" s="50">
        <v>8</v>
      </c>
      <c r="H31" s="12">
        <v>7</v>
      </c>
      <c r="I31" s="12">
        <v>8</v>
      </c>
      <c r="J31" s="12">
        <v>5</v>
      </c>
      <c r="K31" s="12">
        <v>6</v>
      </c>
      <c r="L31" s="12">
        <v>10</v>
      </c>
      <c r="M31" s="12">
        <v>10</v>
      </c>
      <c r="N31" s="41">
        <v>10</v>
      </c>
      <c r="O31" s="14">
        <f>SUM(Tableau135[[#This Row],[Exercices d''obsevation]:[TIC]])</f>
        <v>91</v>
      </c>
      <c r="P31" s="26">
        <f>AVERAGE(Tableau135[[#This Row],[Exercices d''obsevation]:[TIC]])</f>
        <v>8.2727272727272734</v>
      </c>
      <c r="Q31" s="14">
        <f>RANK(Tableau135[[#This Row],[Moyenne]],Tableau135[Moyenne],0)</f>
        <v>30</v>
      </c>
      <c r="R31" s="10" t="str">
        <f>IF(Tableau135[[#This Row],[Moyenne]]&lt;5,"Non Validé","Validé")</f>
        <v>Validé</v>
      </c>
    </row>
    <row r="32" spans="1:18" ht="24.95" customHeight="1" thickBot="1" x14ac:dyDescent="0.3">
      <c r="A32" s="2">
        <v>103</v>
      </c>
      <c r="B32" s="9" t="s">
        <v>98</v>
      </c>
      <c r="C32" s="12" t="s">
        <v>142</v>
      </c>
      <c r="D32" s="12">
        <v>10</v>
      </c>
      <c r="E32" s="50">
        <v>10</v>
      </c>
      <c r="F32" s="12">
        <v>9</v>
      </c>
      <c r="G32" s="50">
        <v>10</v>
      </c>
      <c r="H32" s="12">
        <v>6</v>
      </c>
      <c r="I32" s="12">
        <v>9</v>
      </c>
      <c r="J32" s="12">
        <v>5</v>
      </c>
      <c r="K32" s="12">
        <v>6</v>
      </c>
      <c r="L32" s="12">
        <v>6</v>
      </c>
      <c r="M32" s="12">
        <v>10</v>
      </c>
      <c r="N32" s="41">
        <v>10</v>
      </c>
      <c r="O32" s="14">
        <f>SUM(Tableau135[[#This Row],[Exercices d''obsevation]:[TIC]])</f>
        <v>91</v>
      </c>
      <c r="P32" s="26">
        <f>AVERAGE(Tableau135[[#This Row],[Exercices d''obsevation]:[TIC]])</f>
        <v>8.2727272727272734</v>
      </c>
      <c r="Q32" s="14">
        <f>RANK(Tableau135[[#This Row],[Moyenne]],Tableau135[Moyenne],0)</f>
        <v>30</v>
      </c>
      <c r="R32" s="10" t="str">
        <f>IF(Tableau135[[#This Row],[Moyenne]]&lt;5,"Non Validé","Validé")</f>
        <v>Validé</v>
      </c>
    </row>
    <row r="33" spans="1:18" ht="24.95" customHeight="1" thickBot="1" x14ac:dyDescent="0.3">
      <c r="A33" s="2">
        <v>58</v>
      </c>
      <c r="B33" s="1" t="s">
        <v>31</v>
      </c>
      <c r="C33" s="44" t="s">
        <v>143</v>
      </c>
      <c r="D33" s="11">
        <v>10</v>
      </c>
      <c r="E33" s="39">
        <v>10</v>
      </c>
      <c r="F33" s="11">
        <v>7</v>
      </c>
      <c r="G33" s="38">
        <v>9</v>
      </c>
      <c r="H33" s="11">
        <v>7</v>
      </c>
      <c r="I33" s="11">
        <v>10</v>
      </c>
      <c r="J33" s="11">
        <v>7</v>
      </c>
      <c r="K33" s="11">
        <v>7</v>
      </c>
      <c r="L33" s="11">
        <v>9</v>
      </c>
      <c r="M33" s="11">
        <v>10</v>
      </c>
      <c r="N33" s="40">
        <v>4</v>
      </c>
      <c r="O33" s="11">
        <f>SUM(Tableau135[[#This Row],[Exercices d''obsevation]:[TIC]])</f>
        <v>90</v>
      </c>
      <c r="P33" s="25">
        <f>AVERAGE(Tableau135[[#This Row],[Exercices d''obsevation]:[TIC]])</f>
        <v>8.1818181818181817</v>
      </c>
      <c r="Q33" s="11">
        <f>RANK(Tableau135[[#This Row],[Moyenne]],Tableau135[Moyenne],0)</f>
        <v>32</v>
      </c>
      <c r="R33" s="3" t="str">
        <f>IF(Tableau135[[#This Row],[Moyenne]]&lt;5,"Non Validé","Validé")</f>
        <v>Validé</v>
      </c>
    </row>
    <row r="34" spans="1:18" ht="24.95" customHeight="1" thickBot="1" x14ac:dyDescent="0.3">
      <c r="A34" s="2">
        <v>46</v>
      </c>
      <c r="B34" s="9" t="s">
        <v>10</v>
      </c>
      <c r="C34" s="12" t="s">
        <v>142</v>
      </c>
      <c r="D34" s="12">
        <v>7</v>
      </c>
      <c r="E34" s="50">
        <v>10</v>
      </c>
      <c r="F34" s="12">
        <v>8</v>
      </c>
      <c r="G34" s="50">
        <v>10</v>
      </c>
      <c r="H34" s="12">
        <v>8</v>
      </c>
      <c r="I34" s="12">
        <v>7</v>
      </c>
      <c r="J34" s="12">
        <v>6</v>
      </c>
      <c r="K34" s="12">
        <v>6</v>
      </c>
      <c r="L34" s="12">
        <v>8</v>
      </c>
      <c r="M34" s="12">
        <v>10</v>
      </c>
      <c r="N34" s="49">
        <v>10</v>
      </c>
      <c r="O34" s="14">
        <f>SUM(Tableau135[[#This Row],[Exercices d''obsevation]:[TIC]])</f>
        <v>90</v>
      </c>
      <c r="P34" s="26">
        <f>AVERAGE(Tableau135[[#This Row],[Exercices d''obsevation]:[TIC]])</f>
        <v>8.1818181818181817</v>
      </c>
      <c r="Q34" s="14">
        <f>RANK(Tableau135[[#This Row],[Moyenne]],Tableau135[Moyenne],0)</f>
        <v>32</v>
      </c>
      <c r="R34" s="10" t="str">
        <f>IF(Tableau135[[#This Row],[Moyenne]]&lt;5,"Non Validé","Validé")</f>
        <v>Validé</v>
      </c>
    </row>
    <row r="35" spans="1:18" ht="24.95" customHeight="1" thickBot="1" x14ac:dyDescent="0.3">
      <c r="A35" s="2">
        <v>10</v>
      </c>
      <c r="B35" s="1" t="s">
        <v>13</v>
      </c>
      <c r="C35" s="44" t="s">
        <v>143</v>
      </c>
      <c r="D35" s="11">
        <v>9</v>
      </c>
      <c r="E35" s="39">
        <v>10</v>
      </c>
      <c r="F35" s="11">
        <v>8</v>
      </c>
      <c r="G35" s="38">
        <v>9</v>
      </c>
      <c r="H35" s="11">
        <v>6</v>
      </c>
      <c r="I35" s="11">
        <v>10</v>
      </c>
      <c r="J35" s="11">
        <v>4</v>
      </c>
      <c r="K35" s="11">
        <v>6</v>
      </c>
      <c r="L35" s="11">
        <v>8</v>
      </c>
      <c r="M35" s="11">
        <v>10</v>
      </c>
      <c r="N35" s="48">
        <v>10</v>
      </c>
      <c r="O35" s="11">
        <f>SUM(Tableau135[[#This Row],[Exercices d''obsevation]:[TIC]])</f>
        <v>90</v>
      </c>
      <c r="P35" s="25">
        <f>AVERAGE(Tableau135[[#This Row],[Exercices d''obsevation]:[TIC]])</f>
        <v>8.1818181818181817</v>
      </c>
      <c r="Q35" s="11">
        <f>RANK(Tableau135[[#This Row],[Moyenne]],Tableau135[Moyenne],0)</f>
        <v>32</v>
      </c>
      <c r="R35" s="3" t="str">
        <f>IF(Tableau135[[#This Row],[Moyenne]]&lt;5,"Non Validé","Validé")</f>
        <v>Validé</v>
      </c>
    </row>
    <row r="36" spans="1:18" ht="24.95" customHeight="1" thickBot="1" x14ac:dyDescent="0.3">
      <c r="A36" s="2">
        <v>14</v>
      </c>
      <c r="B36" s="9" t="s">
        <v>47</v>
      </c>
      <c r="C36" s="12" t="s">
        <v>142</v>
      </c>
      <c r="D36" s="12">
        <v>8</v>
      </c>
      <c r="E36" s="50">
        <v>8</v>
      </c>
      <c r="F36" s="12">
        <v>8</v>
      </c>
      <c r="G36" s="50">
        <v>6</v>
      </c>
      <c r="H36" s="12">
        <v>9</v>
      </c>
      <c r="I36" s="12">
        <v>9</v>
      </c>
      <c r="J36" s="12">
        <v>6</v>
      </c>
      <c r="K36" s="12">
        <v>7</v>
      </c>
      <c r="L36" s="12">
        <v>8</v>
      </c>
      <c r="M36" s="12">
        <v>10</v>
      </c>
      <c r="N36" s="49">
        <v>10</v>
      </c>
      <c r="O36" s="14">
        <f>SUM(Tableau135[[#This Row],[Exercices d''obsevation]:[TIC]])</f>
        <v>89</v>
      </c>
      <c r="P36" s="26">
        <f>AVERAGE(Tableau135[[#This Row],[Exercices d''obsevation]:[TIC]])</f>
        <v>8.0909090909090917</v>
      </c>
      <c r="Q36" s="14">
        <f>RANK(Tableau135[[#This Row],[Moyenne]],Tableau135[Moyenne],0)</f>
        <v>35</v>
      </c>
      <c r="R36" s="10" t="str">
        <f>IF(Tableau135[[#This Row],[Moyenne]]&lt;5,"Non Validé","Validé")</f>
        <v>Validé</v>
      </c>
    </row>
    <row r="37" spans="1:18" s="16" customFormat="1" ht="24.95" customHeight="1" thickBot="1" x14ac:dyDescent="0.3">
      <c r="A37" s="2">
        <v>71</v>
      </c>
      <c r="B37" s="9" t="s">
        <v>77</v>
      </c>
      <c r="C37" s="12" t="s">
        <v>142</v>
      </c>
      <c r="D37" s="12">
        <v>9</v>
      </c>
      <c r="E37" s="50">
        <v>10</v>
      </c>
      <c r="F37" s="12">
        <v>8</v>
      </c>
      <c r="G37" s="50">
        <v>5</v>
      </c>
      <c r="H37" s="12">
        <v>7</v>
      </c>
      <c r="I37" s="12">
        <v>10</v>
      </c>
      <c r="J37" s="12">
        <v>5</v>
      </c>
      <c r="K37" s="12">
        <v>7</v>
      </c>
      <c r="L37" s="12">
        <v>8</v>
      </c>
      <c r="M37" s="12">
        <v>10</v>
      </c>
      <c r="N37" s="41">
        <v>10</v>
      </c>
      <c r="O37" s="14">
        <f>SUM(Tableau135[[#This Row],[Exercices d''obsevation]:[TIC]])</f>
        <v>89</v>
      </c>
      <c r="P37" s="26">
        <f>AVERAGE(Tableau135[[#This Row],[Exercices d''obsevation]:[TIC]])</f>
        <v>8.0909090909090917</v>
      </c>
      <c r="Q37" s="14">
        <f>RANK(Tableau135[[#This Row],[Moyenne]],Tableau135[Moyenne],0)</f>
        <v>35</v>
      </c>
      <c r="R37" s="10" t="str">
        <f>IF(Tableau135[[#This Row],[Moyenne]]&lt;5,"Non Validé","Validé")</f>
        <v>Validé</v>
      </c>
    </row>
    <row r="38" spans="1:18" s="16" customFormat="1" ht="24.95" customHeight="1" thickBot="1" x14ac:dyDescent="0.3">
      <c r="A38" s="2">
        <v>112</v>
      </c>
      <c r="B38" s="27" t="s">
        <v>112</v>
      </c>
      <c r="C38" s="12" t="s">
        <v>142</v>
      </c>
      <c r="D38" s="14">
        <v>9</v>
      </c>
      <c r="E38" s="50">
        <v>10</v>
      </c>
      <c r="F38" s="14">
        <v>8</v>
      </c>
      <c r="G38" s="50">
        <v>10</v>
      </c>
      <c r="H38" s="14">
        <v>8</v>
      </c>
      <c r="I38" s="14">
        <v>10</v>
      </c>
      <c r="J38" s="14">
        <v>4</v>
      </c>
      <c r="K38" s="14">
        <v>6</v>
      </c>
      <c r="L38" s="14">
        <v>4</v>
      </c>
      <c r="M38" s="14">
        <v>10</v>
      </c>
      <c r="N38" s="42">
        <v>10</v>
      </c>
      <c r="O38" s="14">
        <f>SUM(Tableau135[[#This Row],[Exercices d''obsevation]:[TIC]])</f>
        <v>89</v>
      </c>
      <c r="P38" s="26">
        <f>AVERAGE(Tableau135[[#This Row],[Exercices d''obsevation]:[TIC]])</f>
        <v>8.0909090909090917</v>
      </c>
      <c r="Q38" s="14">
        <f>RANK(Tableau135[[#This Row],[Moyenne]],Tableau135[Moyenne],0)</f>
        <v>35</v>
      </c>
      <c r="R38" s="28" t="str">
        <f>IF(Tableau135[[#This Row],[Moyenne]]&lt;5,"Non Validé","Validé")</f>
        <v>Validé</v>
      </c>
    </row>
    <row r="39" spans="1:18" ht="24.95" customHeight="1" thickBot="1" x14ac:dyDescent="0.3">
      <c r="A39" s="2">
        <v>115</v>
      </c>
      <c r="B39" s="1" t="s">
        <v>34</v>
      </c>
      <c r="C39" s="44" t="s">
        <v>143</v>
      </c>
      <c r="D39" s="11">
        <v>9</v>
      </c>
      <c r="E39" s="48">
        <v>10</v>
      </c>
      <c r="F39" s="11">
        <v>9</v>
      </c>
      <c r="G39" s="48">
        <v>6</v>
      </c>
      <c r="H39" s="11">
        <v>7</v>
      </c>
      <c r="I39" s="11">
        <v>9</v>
      </c>
      <c r="J39" s="11">
        <v>5</v>
      </c>
      <c r="K39" s="11">
        <v>6</v>
      </c>
      <c r="L39" s="11">
        <v>8</v>
      </c>
      <c r="M39" s="11">
        <v>10</v>
      </c>
      <c r="N39" s="48">
        <v>9</v>
      </c>
      <c r="O39" s="11">
        <f>SUM(Tableau135[[#This Row],[Exercices d''obsevation]:[TIC]])</f>
        <v>88</v>
      </c>
      <c r="P39" s="25">
        <f>AVERAGE(Tableau135[[#This Row],[Exercices d''obsevation]:[TIC]])</f>
        <v>8</v>
      </c>
      <c r="Q39" s="11">
        <f>RANK(Tableau135[[#This Row],[Moyenne]],Tableau135[Moyenne],0)</f>
        <v>38</v>
      </c>
      <c r="R39" s="3" t="str">
        <f>IF(Tableau135[[#This Row],[Moyenne]]&lt;5,"Non Validé","Validé")</f>
        <v>Validé</v>
      </c>
    </row>
    <row r="40" spans="1:18" ht="24.95" customHeight="1" thickBot="1" x14ac:dyDescent="0.3">
      <c r="A40" s="2">
        <v>29</v>
      </c>
      <c r="B40" s="9" t="s">
        <v>107</v>
      </c>
      <c r="C40" s="12" t="s">
        <v>142</v>
      </c>
      <c r="D40" s="12">
        <v>10</v>
      </c>
      <c r="E40" s="50">
        <v>10</v>
      </c>
      <c r="F40" s="12">
        <v>8</v>
      </c>
      <c r="G40" s="50">
        <v>7</v>
      </c>
      <c r="H40" s="12">
        <v>7</v>
      </c>
      <c r="I40" s="12">
        <v>10</v>
      </c>
      <c r="J40" s="12">
        <v>4</v>
      </c>
      <c r="K40" s="12">
        <v>6</v>
      </c>
      <c r="L40" s="12">
        <v>6</v>
      </c>
      <c r="M40" s="12">
        <v>8</v>
      </c>
      <c r="N40" s="41">
        <v>10</v>
      </c>
      <c r="O40" s="14">
        <f>SUM(Tableau135[[#This Row],[Exercices d''obsevation]:[TIC]])</f>
        <v>86</v>
      </c>
      <c r="P40" s="26">
        <f>AVERAGE(Tableau135[[#This Row],[Exercices d''obsevation]:[TIC]])</f>
        <v>7.8181818181818183</v>
      </c>
      <c r="Q40" s="14">
        <f>RANK(Tableau135[[#This Row],[Moyenne]],Tableau135[Moyenne],0)</f>
        <v>39</v>
      </c>
      <c r="R40" s="10" t="str">
        <f>IF(Tableau135[[#This Row],[Moyenne]]&lt;5,"Non Validé","Validé")</f>
        <v>Validé</v>
      </c>
    </row>
    <row r="41" spans="1:18" ht="24.95" customHeight="1" thickBot="1" x14ac:dyDescent="0.3">
      <c r="A41" s="2">
        <v>2</v>
      </c>
      <c r="B41" s="9" t="s">
        <v>43</v>
      </c>
      <c r="C41" s="12" t="s">
        <v>142</v>
      </c>
      <c r="D41" s="12">
        <v>9</v>
      </c>
      <c r="E41" s="50">
        <v>10</v>
      </c>
      <c r="F41" s="12">
        <v>8</v>
      </c>
      <c r="G41" s="50">
        <v>10</v>
      </c>
      <c r="H41" s="12">
        <v>8</v>
      </c>
      <c r="I41" s="12">
        <v>10</v>
      </c>
      <c r="J41" s="12">
        <v>6</v>
      </c>
      <c r="K41" s="12">
        <v>7</v>
      </c>
      <c r="L41" s="12">
        <v>6</v>
      </c>
      <c r="M41" s="12">
        <v>10</v>
      </c>
      <c r="N41" s="49">
        <v>2</v>
      </c>
      <c r="O41" s="14">
        <f>SUM(Tableau135[[#This Row],[Exercices d''obsevation]:[TIC]])</f>
        <v>86</v>
      </c>
      <c r="P41" s="26">
        <f>AVERAGE(Tableau135[[#This Row],[Exercices d''obsevation]:[TIC]])</f>
        <v>7.8181818181818183</v>
      </c>
      <c r="Q41" s="14">
        <f>RANK(Tableau135[[#This Row],[Moyenne]],Tableau135[Moyenne],0)</f>
        <v>39</v>
      </c>
      <c r="R41" s="10" t="str">
        <f>IF(Tableau135[[#This Row],[Moyenne]]&lt;5,"Non Validé","Validé")</f>
        <v>Validé</v>
      </c>
    </row>
    <row r="42" spans="1:18" ht="24.95" customHeight="1" thickBot="1" x14ac:dyDescent="0.3">
      <c r="A42" s="2">
        <v>93</v>
      </c>
      <c r="B42" s="9" t="s">
        <v>54</v>
      </c>
      <c r="C42" s="12" t="s">
        <v>142</v>
      </c>
      <c r="D42" s="12">
        <v>8</v>
      </c>
      <c r="E42" s="50">
        <v>10</v>
      </c>
      <c r="F42" s="12">
        <v>9</v>
      </c>
      <c r="G42" s="50">
        <v>8</v>
      </c>
      <c r="H42" s="12">
        <v>7</v>
      </c>
      <c r="I42" s="12">
        <v>7</v>
      </c>
      <c r="J42" s="12">
        <v>5</v>
      </c>
      <c r="K42" s="12">
        <v>6</v>
      </c>
      <c r="L42" s="12">
        <v>8</v>
      </c>
      <c r="M42" s="12">
        <v>10</v>
      </c>
      <c r="N42" s="49">
        <v>8</v>
      </c>
      <c r="O42" s="14">
        <f>SUM(Tableau135[[#This Row],[Exercices d''obsevation]:[TIC]])</f>
        <v>86</v>
      </c>
      <c r="P42" s="26">
        <f>AVERAGE(Tableau135[[#This Row],[Exercices d''obsevation]:[TIC]])</f>
        <v>7.8181818181818183</v>
      </c>
      <c r="Q42" s="14">
        <f>RANK(Tableau135[[#This Row],[Moyenne]],Tableau135[Moyenne],0)</f>
        <v>39</v>
      </c>
      <c r="R42" s="10" t="str">
        <f>IF(Tableau135[[#This Row],[Moyenne]]&lt;5,"Non Validé","Validé")</f>
        <v>Validé</v>
      </c>
    </row>
    <row r="43" spans="1:18" ht="24.95" customHeight="1" thickBot="1" x14ac:dyDescent="0.3">
      <c r="A43" s="2">
        <v>106</v>
      </c>
      <c r="B43" s="1" t="s">
        <v>33</v>
      </c>
      <c r="C43" s="44" t="s">
        <v>143</v>
      </c>
      <c r="D43" s="11">
        <v>8</v>
      </c>
      <c r="E43" s="46">
        <v>10</v>
      </c>
      <c r="F43" s="11">
        <v>8</v>
      </c>
      <c r="G43" s="47">
        <v>10</v>
      </c>
      <c r="H43" s="11">
        <v>8</v>
      </c>
      <c r="I43" s="11">
        <v>9</v>
      </c>
      <c r="J43" s="11">
        <v>3</v>
      </c>
      <c r="K43" s="11">
        <v>6</v>
      </c>
      <c r="L43" s="11">
        <v>4</v>
      </c>
      <c r="M43" s="11">
        <v>10</v>
      </c>
      <c r="N43" s="48">
        <v>10</v>
      </c>
      <c r="O43" s="11">
        <f>SUM(Tableau135[[#This Row],[Exercices d''obsevation]:[TIC]])</f>
        <v>86</v>
      </c>
      <c r="P43" s="25">
        <f>AVERAGE(Tableau135[[#This Row],[Exercices d''obsevation]:[TIC]])</f>
        <v>7.8181818181818183</v>
      </c>
      <c r="Q43" s="11">
        <f>RANK(Tableau135[[#This Row],[Moyenne]],Tableau135[Moyenne],0)</f>
        <v>39</v>
      </c>
      <c r="R43" s="3" t="str">
        <f>IF(Tableau135[[#This Row],[Moyenne]]&lt;5,"Non Validé","Validé")</f>
        <v>Validé</v>
      </c>
    </row>
    <row r="44" spans="1:18" ht="24.95" customHeight="1" thickBot="1" x14ac:dyDescent="0.3">
      <c r="A44" s="2">
        <v>99</v>
      </c>
      <c r="B44" s="9" t="s">
        <v>53</v>
      </c>
      <c r="C44" s="12" t="s">
        <v>142</v>
      </c>
      <c r="D44" s="12">
        <v>9</v>
      </c>
      <c r="E44" s="50">
        <v>10</v>
      </c>
      <c r="F44" s="12">
        <v>8</v>
      </c>
      <c r="G44" s="50">
        <v>10</v>
      </c>
      <c r="H44" s="12">
        <v>7</v>
      </c>
      <c r="I44" s="12">
        <v>8</v>
      </c>
      <c r="J44" s="12">
        <v>5</v>
      </c>
      <c r="K44" s="12">
        <v>5</v>
      </c>
      <c r="L44" s="12">
        <v>7</v>
      </c>
      <c r="M44" s="12">
        <v>8</v>
      </c>
      <c r="N44" s="49">
        <v>8</v>
      </c>
      <c r="O44" s="14">
        <f>SUM(Tableau135[[#This Row],[Exercices d''obsevation]:[TIC]])</f>
        <v>85</v>
      </c>
      <c r="P44" s="26">
        <f>AVERAGE(Tableau135[[#This Row],[Exercices d''obsevation]:[TIC]])</f>
        <v>7.7272727272727275</v>
      </c>
      <c r="Q44" s="14">
        <f>RANK(Tableau135[[#This Row],[Moyenne]],Tableau135[Moyenne],0)</f>
        <v>43</v>
      </c>
      <c r="R44" s="10" t="str">
        <f>IF(Tableau135[[#This Row],[Moyenne]]&lt;5,"Non Validé","Validé")</f>
        <v>Validé</v>
      </c>
    </row>
    <row r="45" spans="1:18" ht="24.95" customHeight="1" thickBot="1" x14ac:dyDescent="0.3">
      <c r="A45" s="2">
        <v>70</v>
      </c>
      <c r="B45" s="9" t="s">
        <v>65</v>
      </c>
      <c r="C45" s="12" t="s">
        <v>142</v>
      </c>
      <c r="D45" s="12">
        <v>9</v>
      </c>
      <c r="E45" s="50">
        <v>10</v>
      </c>
      <c r="F45" s="12">
        <v>8</v>
      </c>
      <c r="G45" s="50">
        <v>10</v>
      </c>
      <c r="H45" s="12">
        <v>7</v>
      </c>
      <c r="I45" s="12">
        <v>10</v>
      </c>
      <c r="J45" s="12">
        <v>1</v>
      </c>
      <c r="K45" s="12">
        <v>6</v>
      </c>
      <c r="L45" s="12">
        <v>8</v>
      </c>
      <c r="M45" s="12">
        <v>10</v>
      </c>
      <c r="N45" s="41">
        <v>6</v>
      </c>
      <c r="O45" s="14">
        <f>SUM(Tableau135[[#This Row],[Exercices d''obsevation]:[TIC]])</f>
        <v>85</v>
      </c>
      <c r="P45" s="26">
        <f>AVERAGE(Tableau135[[#This Row],[Exercices d''obsevation]:[TIC]])</f>
        <v>7.7272727272727275</v>
      </c>
      <c r="Q45" s="14">
        <f>RANK(Tableau135[[#This Row],[Moyenne]],Tableau135[Moyenne],0)</f>
        <v>43</v>
      </c>
      <c r="R45" s="10" t="str">
        <f>IF(Tableau135[[#This Row],[Moyenne]]&lt;5,"Non Validé","Validé")</f>
        <v>Validé</v>
      </c>
    </row>
    <row r="46" spans="1:18" ht="24.95" customHeight="1" thickBot="1" x14ac:dyDescent="0.3">
      <c r="A46" s="2">
        <v>65</v>
      </c>
      <c r="B46" s="27" t="s">
        <v>122</v>
      </c>
      <c r="C46" s="12" t="s">
        <v>142</v>
      </c>
      <c r="D46" s="14">
        <v>9</v>
      </c>
      <c r="E46" s="50">
        <v>10</v>
      </c>
      <c r="F46" s="14">
        <v>8</v>
      </c>
      <c r="G46" s="50">
        <v>8</v>
      </c>
      <c r="H46" s="14">
        <v>8</v>
      </c>
      <c r="I46" s="14">
        <v>10</v>
      </c>
      <c r="J46" s="14">
        <v>0</v>
      </c>
      <c r="K46" s="14">
        <v>7</v>
      </c>
      <c r="L46" s="14">
        <v>7</v>
      </c>
      <c r="M46" s="14">
        <v>10</v>
      </c>
      <c r="N46" s="42">
        <v>8</v>
      </c>
      <c r="O46" s="14">
        <f>SUM(Tableau135[[#This Row],[Exercices d''obsevation]:[TIC]])</f>
        <v>85</v>
      </c>
      <c r="P46" s="26">
        <f>AVERAGE(Tableau135[[#This Row],[Exercices d''obsevation]:[TIC]])</f>
        <v>7.7272727272727275</v>
      </c>
      <c r="Q46" s="14">
        <f>RANK(Tableau135[[#This Row],[Moyenne]],Tableau135[Moyenne],0)</f>
        <v>43</v>
      </c>
      <c r="R46" s="28" t="str">
        <f>IF(Tableau135[[#This Row],[Moyenne]]&lt;5,"Non Validé","Validé")</f>
        <v>Validé</v>
      </c>
    </row>
    <row r="47" spans="1:18" s="16" customFormat="1" ht="24.95" customHeight="1" thickBot="1" x14ac:dyDescent="0.3">
      <c r="A47" s="2">
        <v>92</v>
      </c>
      <c r="B47" s="1" t="s">
        <v>133</v>
      </c>
      <c r="C47" s="44" t="s">
        <v>143</v>
      </c>
      <c r="D47" s="11">
        <v>8</v>
      </c>
      <c r="E47" s="39">
        <v>10</v>
      </c>
      <c r="F47" s="11">
        <v>8</v>
      </c>
      <c r="G47" s="38">
        <v>7</v>
      </c>
      <c r="H47" s="11">
        <v>7</v>
      </c>
      <c r="I47" s="11">
        <v>10</v>
      </c>
      <c r="J47" s="11">
        <v>2</v>
      </c>
      <c r="K47" s="11">
        <v>7</v>
      </c>
      <c r="L47" s="11">
        <v>7</v>
      </c>
      <c r="M47" s="11">
        <v>10</v>
      </c>
      <c r="N47" s="40">
        <v>9</v>
      </c>
      <c r="O47" s="11">
        <f>SUM(Tableau135[[#This Row],[Exercices d''obsevation]:[TIC]])</f>
        <v>85</v>
      </c>
      <c r="P47" s="25">
        <f>AVERAGE(Tableau135[[#This Row],[Exercices d''obsevation]:[TIC]])</f>
        <v>7.7272727272727275</v>
      </c>
      <c r="Q47" s="11">
        <f>RANK(Tableau135[[#This Row],[Moyenne]],Tableau135[Moyenne],0)</f>
        <v>43</v>
      </c>
      <c r="R47" s="3" t="str">
        <f>IF(Tableau135[[#This Row],[Moyenne]]&lt;5,"Non Validé","Validé")</f>
        <v>Validé</v>
      </c>
    </row>
    <row r="48" spans="1:18" ht="24.95" customHeight="1" thickBot="1" x14ac:dyDescent="0.3">
      <c r="A48" s="35">
        <v>52</v>
      </c>
      <c r="B48" s="27" t="s">
        <v>140</v>
      </c>
      <c r="C48" s="12" t="s">
        <v>142</v>
      </c>
      <c r="D48" s="14">
        <v>9</v>
      </c>
      <c r="E48" s="50">
        <v>10</v>
      </c>
      <c r="F48" s="14">
        <v>9</v>
      </c>
      <c r="G48" s="50">
        <v>6</v>
      </c>
      <c r="H48" s="14">
        <v>8</v>
      </c>
      <c r="I48" s="14">
        <v>10</v>
      </c>
      <c r="J48" s="14">
        <v>7</v>
      </c>
      <c r="K48" s="14">
        <v>6</v>
      </c>
      <c r="L48" s="14">
        <v>6</v>
      </c>
      <c r="M48" s="14">
        <v>8</v>
      </c>
      <c r="N48" s="53">
        <v>5</v>
      </c>
      <c r="O48" s="14">
        <f>SUM(Tableau135[[#This Row],[Exercices d''obsevation]:[TIC]])</f>
        <v>84</v>
      </c>
      <c r="P48" s="26">
        <f>AVERAGE(Tableau135[[#This Row],[Exercices d''obsevation]:[TIC]])</f>
        <v>7.6363636363636367</v>
      </c>
      <c r="Q48" s="14">
        <f>RANK(Tableau135[[#This Row],[Moyenne]],Tableau135[Moyenne],0)</f>
        <v>47</v>
      </c>
      <c r="R48" s="28" t="str">
        <f>IF(Tableau135[[#This Row],[Moyenne]]&lt;5,"Non Validé","Validé")</f>
        <v>Validé</v>
      </c>
    </row>
    <row r="49" spans="1:18" ht="24.95" customHeight="1" thickBot="1" x14ac:dyDescent="0.3">
      <c r="A49" s="2">
        <v>62</v>
      </c>
      <c r="B49" s="1" t="s">
        <v>80</v>
      </c>
      <c r="C49" s="44" t="s">
        <v>143</v>
      </c>
      <c r="D49" s="11">
        <v>8</v>
      </c>
      <c r="E49" s="39">
        <v>10</v>
      </c>
      <c r="F49" s="11">
        <v>8</v>
      </c>
      <c r="G49" s="38">
        <v>9</v>
      </c>
      <c r="H49" s="11">
        <v>9</v>
      </c>
      <c r="I49" s="11">
        <v>10</v>
      </c>
      <c r="J49" s="11">
        <v>0</v>
      </c>
      <c r="K49" s="11">
        <v>5</v>
      </c>
      <c r="L49" s="11">
        <v>8</v>
      </c>
      <c r="M49" s="11">
        <v>10</v>
      </c>
      <c r="N49" s="40">
        <v>6</v>
      </c>
      <c r="O49" s="11">
        <f>SUM(Tableau135[[#This Row],[Exercices d''obsevation]:[TIC]])</f>
        <v>83</v>
      </c>
      <c r="P49" s="25">
        <f>AVERAGE(Tableau135[[#This Row],[Exercices d''obsevation]:[TIC]])</f>
        <v>7.5454545454545459</v>
      </c>
      <c r="Q49" s="11">
        <f>RANK(Tableau135[[#This Row],[Moyenne]],Tableau135[Moyenne],0)</f>
        <v>48</v>
      </c>
      <c r="R49" s="3" t="str">
        <f>IF(Tableau135[[#This Row],[Moyenne]]&lt;5,"Non Validé","Validé")</f>
        <v>Validé</v>
      </c>
    </row>
    <row r="50" spans="1:18" ht="24.95" customHeight="1" thickBot="1" x14ac:dyDescent="0.3">
      <c r="A50" s="2">
        <v>43</v>
      </c>
      <c r="B50" s="9" t="s">
        <v>9</v>
      </c>
      <c r="C50" s="12" t="s">
        <v>142</v>
      </c>
      <c r="D50" s="12">
        <v>7</v>
      </c>
      <c r="E50" s="50">
        <v>10</v>
      </c>
      <c r="F50" s="12">
        <v>8</v>
      </c>
      <c r="G50" s="50">
        <v>9</v>
      </c>
      <c r="H50" s="12">
        <v>8</v>
      </c>
      <c r="I50" s="12">
        <v>7</v>
      </c>
      <c r="J50" s="12">
        <v>5</v>
      </c>
      <c r="K50" s="12">
        <v>4</v>
      </c>
      <c r="L50" s="12">
        <v>7</v>
      </c>
      <c r="M50" s="12">
        <v>10</v>
      </c>
      <c r="N50" s="49">
        <v>8</v>
      </c>
      <c r="O50" s="14">
        <f>SUM(Tableau135[[#This Row],[Exercices d''obsevation]:[TIC]])</f>
        <v>83</v>
      </c>
      <c r="P50" s="26">
        <f>AVERAGE(Tableau135[[#This Row],[Exercices d''obsevation]:[TIC]])</f>
        <v>7.5454545454545459</v>
      </c>
      <c r="Q50" s="14">
        <f>RANK(Tableau135[[#This Row],[Moyenne]],Tableau135[Moyenne],0)</f>
        <v>48</v>
      </c>
      <c r="R50" s="10" t="str">
        <f>IF(Tableau135[[#This Row],[Moyenne]]&lt;5,"Non Validé","Validé")</f>
        <v>Validé</v>
      </c>
    </row>
    <row r="51" spans="1:18" s="16" customFormat="1" ht="24.95" customHeight="1" thickBot="1" x14ac:dyDescent="0.3">
      <c r="A51" s="2">
        <v>88</v>
      </c>
      <c r="B51" s="1" t="s">
        <v>130</v>
      </c>
      <c r="C51" s="44" t="s">
        <v>143</v>
      </c>
      <c r="D51" s="11">
        <v>8</v>
      </c>
      <c r="E51" s="39">
        <v>10</v>
      </c>
      <c r="F51" s="11">
        <v>8</v>
      </c>
      <c r="G51" s="38">
        <v>8</v>
      </c>
      <c r="H51" s="11">
        <v>8</v>
      </c>
      <c r="I51" s="11">
        <v>9</v>
      </c>
      <c r="J51" s="11">
        <v>0</v>
      </c>
      <c r="K51" s="11">
        <v>8</v>
      </c>
      <c r="L51" s="11">
        <v>6</v>
      </c>
      <c r="M51" s="11">
        <v>10</v>
      </c>
      <c r="N51" s="40">
        <v>8</v>
      </c>
      <c r="O51" s="11">
        <f>SUM(Tableau135[[#This Row],[Exercices d''obsevation]:[TIC]])</f>
        <v>83</v>
      </c>
      <c r="P51" s="25">
        <f>AVERAGE(Tableau135[[#This Row],[Exercices d''obsevation]:[TIC]])</f>
        <v>7.5454545454545459</v>
      </c>
      <c r="Q51" s="11">
        <f>RANK(Tableau135[[#This Row],[Moyenne]],Tableau135[Moyenne],0)</f>
        <v>48</v>
      </c>
      <c r="R51" s="3" t="str">
        <f>IF(Tableau135[[#This Row],[Moyenne]]&lt;5,"Non Validé","Validé")</f>
        <v>Validé</v>
      </c>
    </row>
    <row r="52" spans="1:18" ht="24.95" customHeight="1" thickBot="1" x14ac:dyDescent="0.3">
      <c r="A52" s="2">
        <v>104</v>
      </c>
      <c r="B52" s="9" t="s">
        <v>137</v>
      </c>
      <c r="C52" s="12" t="s">
        <v>142</v>
      </c>
      <c r="D52" s="12">
        <v>9</v>
      </c>
      <c r="E52" s="50">
        <v>10</v>
      </c>
      <c r="F52" s="12">
        <v>8</v>
      </c>
      <c r="G52" s="50">
        <v>6</v>
      </c>
      <c r="H52" s="12">
        <v>6</v>
      </c>
      <c r="I52" s="12">
        <v>10</v>
      </c>
      <c r="J52" s="12">
        <v>3</v>
      </c>
      <c r="K52" s="12">
        <v>6</v>
      </c>
      <c r="L52" s="12">
        <v>5</v>
      </c>
      <c r="M52" s="12">
        <v>10</v>
      </c>
      <c r="N52" s="41">
        <v>10</v>
      </c>
      <c r="O52" s="14">
        <f>SUM(Tableau135[[#This Row],[Exercices d''obsevation]:[TIC]])</f>
        <v>83</v>
      </c>
      <c r="P52" s="26">
        <f>AVERAGE(Tableau135[[#This Row],[Exercices d''obsevation]:[TIC]])</f>
        <v>7.5454545454545459</v>
      </c>
      <c r="Q52" s="14">
        <f>RANK(Tableau135[[#This Row],[Moyenne]],Tableau135[Moyenne],0)</f>
        <v>48</v>
      </c>
      <c r="R52" s="10" t="str">
        <f>IF(Tableau135[[#This Row],[Moyenne]]&lt;5,"Non Validé","Validé")</f>
        <v>Validé</v>
      </c>
    </row>
    <row r="53" spans="1:18" ht="24.95" customHeight="1" thickBot="1" x14ac:dyDescent="0.3">
      <c r="A53" s="2">
        <v>61</v>
      </c>
      <c r="B53" s="9" t="s">
        <v>42</v>
      </c>
      <c r="C53" s="12" t="s">
        <v>142</v>
      </c>
      <c r="D53" s="12">
        <v>9</v>
      </c>
      <c r="E53" s="50">
        <v>10</v>
      </c>
      <c r="F53" s="12">
        <v>7</v>
      </c>
      <c r="G53" s="50">
        <v>5</v>
      </c>
      <c r="H53" s="12">
        <v>6</v>
      </c>
      <c r="I53" s="12">
        <v>9</v>
      </c>
      <c r="J53" s="12">
        <v>8</v>
      </c>
      <c r="K53" s="12">
        <v>6</v>
      </c>
      <c r="L53" s="12">
        <v>6</v>
      </c>
      <c r="M53" s="12">
        <v>8</v>
      </c>
      <c r="N53" s="41">
        <v>8</v>
      </c>
      <c r="O53" s="14">
        <f>SUM(Tableau135[[#This Row],[Exercices d''obsevation]:[TIC]])</f>
        <v>82</v>
      </c>
      <c r="P53" s="26">
        <f>AVERAGE(Tableau135[[#This Row],[Exercices d''obsevation]:[TIC]])</f>
        <v>7.4545454545454541</v>
      </c>
      <c r="Q53" s="14">
        <f>RANK(Tableau135[[#This Row],[Moyenne]],Tableau135[Moyenne],0)</f>
        <v>52</v>
      </c>
      <c r="R53" s="10" t="str">
        <f>IF(Tableau135[[#This Row],[Moyenne]]&lt;5,"Non Validé","Validé")</f>
        <v>Validé</v>
      </c>
    </row>
    <row r="54" spans="1:18" s="15" customFormat="1" ht="24.95" customHeight="1" thickBot="1" x14ac:dyDescent="0.3">
      <c r="A54" s="2">
        <v>30</v>
      </c>
      <c r="B54" s="1" t="s">
        <v>115</v>
      </c>
      <c r="C54" s="44" t="s">
        <v>143</v>
      </c>
      <c r="D54" s="11">
        <v>8</v>
      </c>
      <c r="E54" s="39">
        <v>10</v>
      </c>
      <c r="F54" s="11">
        <v>9</v>
      </c>
      <c r="G54" s="38">
        <v>6</v>
      </c>
      <c r="H54" s="11">
        <v>6</v>
      </c>
      <c r="I54" s="11">
        <v>10</v>
      </c>
      <c r="J54" s="11">
        <v>4</v>
      </c>
      <c r="K54" s="11">
        <v>6</v>
      </c>
      <c r="L54" s="11">
        <v>4</v>
      </c>
      <c r="M54" s="11">
        <v>8</v>
      </c>
      <c r="N54" s="40">
        <v>10</v>
      </c>
      <c r="O54" s="11">
        <f>SUM(Tableau135[[#This Row],[Exercices d''obsevation]:[TIC]])</f>
        <v>81</v>
      </c>
      <c r="P54" s="25">
        <f>AVERAGE(Tableau135[[#This Row],[Exercices d''obsevation]:[TIC]])</f>
        <v>7.3636363636363633</v>
      </c>
      <c r="Q54" s="11">
        <f>RANK(Tableau135[[#This Row],[Moyenne]],Tableau135[Moyenne],0)</f>
        <v>53</v>
      </c>
      <c r="R54" s="3" t="str">
        <f>IF(Tableau135[[#This Row],[Moyenne]]&lt;5,"Non Validé","Validé")</f>
        <v>Validé</v>
      </c>
    </row>
    <row r="55" spans="1:18" ht="24.95" customHeight="1" thickBot="1" x14ac:dyDescent="0.3">
      <c r="A55" s="2">
        <v>78</v>
      </c>
      <c r="B55" s="1" t="s">
        <v>70</v>
      </c>
      <c r="C55" s="44" t="s">
        <v>143</v>
      </c>
      <c r="D55" s="11">
        <v>10</v>
      </c>
      <c r="E55" s="39">
        <v>10</v>
      </c>
      <c r="F55" s="11">
        <v>8</v>
      </c>
      <c r="G55" s="38">
        <v>6</v>
      </c>
      <c r="H55" s="11">
        <v>10</v>
      </c>
      <c r="I55" s="11">
        <v>9</v>
      </c>
      <c r="J55" s="11">
        <v>2</v>
      </c>
      <c r="K55" s="11">
        <v>5</v>
      </c>
      <c r="L55" s="11">
        <v>4</v>
      </c>
      <c r="M55" s="11">
        <v>9</v>
      </c>
      <c r="N55" s="40">
        <v>8</v>
      </c>
      <c r="O55" s="11">
        <f>SUM(Tableau135[[#This Row],[Exercices d''obsevation]:[TIC]])</f>
        <v>81</v>
      </c>
      <c r="P55" s="25">
        <f>AVERAGE(Tableau135[[#This Row],[Exercices d''obsevation]:[TIC]])</f>
        <v>7.3636363636363633</v>
      </c>
      <c r="Q55" s="11">
        <f>RANK(Tableau135[[#This Row],[Moyenne]],Tableau135[Moyenne],0)</f>
        <v>53</v>
      </c>
      <c r="R55" s="3" t="str">
        <f>IF(Tableau135[[#This Row],[Moyenne]]&lt;5,"Non Validé","Validé")</f>
        <v>Validé</v>
      </c>
    </row>
    <row r="56" spans="1:18" s="15" customFormat="1" ht="24.95" customHeight="1" thickBot="1" x14ac:dyDescent="0.3">
      <c r="A56" s="2">
        <v>85</v>
      </c>
      <c r="B56" s="1" t="s">
        <v>30</v>
      </c>
      <c r="C56" s="44" t="s">
        <v>143</v>
      </c>
      <c r="D56" s="11">
        <v>9</v>
      </c>
      <c r="E56" s="39">
        <v>6</v>
      </c>
      <c r="F56" s="11">
        <v>8</v>
      </c>
      <c r="G56" s="38">
        <v>6</v>
      </c>
      <c r="H56" s="11">
        <v>8</v>
      </c>
      <c r="I56" s="11">
        <v>7</v>
      </c>
      <c r="J56" s="11">
        <v>4</v>
      </c>
      <c r="K56" s="11">
        <v>6</v>
      </c>
      <c r="L56" s="11">
        <v>7</v>
      </c>
      <c r="M56" s="11">
        <v>10</v>
      </c>
      <c r="N56" s="48">
        <v>10</v>
      </c>
      <c r="O56" s="11">
        <f>SUM(Tableau135[[#This Row],[Exercices d''obsevation]:[TIC]])</f>
        <v>81</v>
      </c>
      <c r="P56" s="25">
        <f>AVERAGE(Tableau135[[#This Row],[Exercices d''obsevation]:[TIC]])</f>
        <v>7.3636363636363633</v>
      </c>
      <c r="Q56" s="11">
        <f>RANK(Tableau135[[#This Row],[Moyenne]],Tableau135[Moyenne],0)</f>
        <v>53</v>
      </c>
      <c r="R56" s="3" t="str">
        <f>IF(Tableau135[[#This Row],[Moyenne]]&lt;5,"Non Validé","Validé")</f>
        <v>Validé</v>
      </c>
    </row>
    <row r="57" spans="1:18" s="15" customFormat="1" ht="24.95" customHeight="1" thickBot="1" x14ac:dyDescent="0.3">
      <c r="A57" s="2">
        <v>57</v>
      </c>
      <c r="B57" s="1" t="s">
        <v>108</v>
      </c>
      <c r="C57" s="44" t="s">
        <v>143</v>
      </c>
      <c r="D57" s="11">
        <v>8</v>
      </c>
      <c r="E57" s="39">
        <v>10</v>
      </c>
      <c r="F57" s="11">
        <v>10</v>
      </c>
      <c r="G57" s="38">
        <v>7</v>
      </c>
      <c r="H57" s="11">
        <v>7</v>
      </c>
      <c r="I57" s="11">
        <v>9</v>
      </c>
      <c r="J57" s="11">
        <v>0</v>
      </c>
      <c r="K57" s="11">
        <v>6</v>
      </c>
      <c r="L57" s="11">
        <v>7</v>
      </c>
      <c r="M57" s="11">
        <v>10</v>
      </c>
      <c r="N57" s="40">
        <v>6</v>
      </c>
      <c r="O57" s="11">
        <f>SUM(Tableau135[[#This Row],[Exercices d''obsevation]:[TIC]])</f>
        <v>80</v>
      </c>
      <c r="P57" s="25">
        <f>AVERAGE(Tableau135[[#This Row],[Exercices d''obsevation]:[TIC]])</f>
        <v>7.2727272727272725</v>
      </c>
      <c r="Q57" s="11">
        <f>RANK(Tableau135[[#This Row],[Moyenne]],Tableau135[Moyenne],0)</f>
        <v>56</v>
      </c>
      <c r="R57" s="3" t="str">
        <f>IF(Tableau135[[#This Row],[Moyenne]]&lt;5,"Non Validé","Validé")</f>
        <v>Validé</v>
      </c>
    </row>
    <row r="58" spans="1:18" ht="24.95" customHeight="1" thickBot="1" x14ac:dyDescent="0.3">
      <c r="A58" s="2">
        <v>96</v>
      </c>
      <c r="B58" s="1" t="s">
        <v>57</v>
      </c>
      <c r="C58" s="44" t="s">
        <v>143</v>
      </c>
      <c r="D58" s="11">
        <v>6</v>
      </c>
      <c r="E58" s="39">
        <v>10</v>
      </c>
      <c r="F58" s="11">
        <v>7</v>
      </c>
      <c r="G58" s="38">
        <v>6</v>
      </c>
      <c r="H58" s="11">
        <v>8</v>
      </c>
      <c r="I58" s="11">
        <v>8</v>
      </c>
      <c r="J58" s="11">
        <v>3</v>
      </c>
      <c r="K58" s="11">
        <v>5</v>
      </c>
      <c r="L58" s="11">
        <v>9</v>
      </c>
      <c r="M58" s="11">
        <v>10</v>
      </c>
      <c r="N58" s="48">
        <v>8</v>
      </c>
      <c r="O58" s="11">
        <f>SUM(Tableau135[[#This Row],[Exercices d''obsevation]:[TIC]])</f>
        <v>80</v>
      </c>
      <c r="P58" s="25">
        <f>AVERAGE(Tableau135[[#This Row],[Exercices d''obsevation]:[TIC]])</f>
        <v>7.2727272727272725</v>
      </c>
      <c r="Q58" s="11">
        <f>RANK(Tableau135[[#This Row],[Moyenne]],Tableau135[Moyenne],0)</f>
        <v>56</v>
      </c>
      <c r="R58" s="3" t="str">
        <f>IF(Tableau135[[#This Row],[Moyenne]]&lt;5,"Non Validé","Validé")</f>
        <v>Validé</v>
      </c>
    </row>
    <row r="59" spans="1:18" ht="24.95" customHeight="1" thickBot="1" x14ac:dyDescent="0.3">
      <c r="A59" s="2">
        <v>50</v>
      </c>
      <c r="B59" s="30" t="s">
        <v>84</v>
      </c>
      <c r="C59" s="12" t="s">
        <v>142</v>
      </c>
      <c r="D59" s="31">
        <v>8</v>
      </c>
      <c r="E59" s="50">
        <v>10</v>
      </c>
      <c r="F59" s="31">
        <v>9</v>
      </c>
      <c r="G59" s="50">
        <v>2</v>
      </c>
      <c r="H59" s="31">
        <v>6</v>
      </c>
      <c r="I59" s="31">
        <v>9</v>
      </c>
      <c r="J59" s="31">
        <v>6</v>
      </c>
      <c r="K59" s="31">
        <v>6</v>
      </c>
      <c r="L59" s="31">
        <v>4</v>
      </c>
      <c r="M59" s="31">
        <v>10</v>
      </c>
      <c r="N59" s="54">
        <v>10</v>
      </c>
      <c r="O59" s="23">
        <f>SUM(Tableau135[[#This Row],[Exercices d''obsevation]:[TIC]])</f>
        <v>80</v>
      </c>
      <c r="P59" s="33">
        <f>AVERAGE(Tableau135[[#This Row],[Exercices d''obsevation]:[TIC]])</f>
        <v>7.2727272727272725</v>
      </c>
      <c r="Q59" s="14">
        <f>RANK(Tableau135[[#This Row],[Moyenne]],Tableau135[Moyenne],0)</f>
        <v>56</v>
      </c>
      <c r="R59" s="32" t="str">
        <f>IF(Tableau135[[#This Row],[Moyenne]]&lt;5,"Non Validé","Validé")</f>
        <v>Validé</v>
      </c>
    </row>
    <row r="60" spans="1:18" ht="24.95" customHeight="1" thickBot="1" x14ac:dyDescent="0.3">
      <c r="A60" s="2">
        <v>90</v>
      </c>
      <c r="B60" s="1" t="s">
        <v>6</v>
      </c>
      <c r="C60" s="44" t="s">
        <v>143</v>
      </c>
      <c r="D60" s="11">
        <v>9</v>
      </c>
      <c r="E60" s="46">
        <v>10</v>
      </c>
      <c r="F60" s="11">
        <v>8</v>
      </c>
      <c r="G60" s="47">
        <v>10</v>
      </c>
      <c r="H60" s="11">
        <v>7</v>
      </c>
      <c r="I60" s="11">
        <v>8</v>
      </c>
      <c r="J60" s="11">
        <v>2</v>
      </c>
      <c r="K60" s="11">
        <v>6</v>
      </c>
      <c r="L60" s="11">
        <v>7</v>
      </c>
      <c r="M60" s="11">
        <v>10</v>
      </c>
      <c r="N60" s="48">
        <v>2</v>
      </c>
      <c r="O60" s="11">
        <f>SUM(Tableau135[[#This Row],[Exercices d''obsevation]:[TIC]])</f>
        <v>79</v>
      </c>
      <c r="P60" s="25">
        <f>AVERAGE(Tableau135[[#This Row],[Exercices d''obsevation]:[TIC]])</f>
        <v>7.1818181818181817</v>
      </c>
      <c r="Q60" s="11">
        <f>RANK(Tableau135[[#This Row],[Moyenne]],Tableau135[Moyenne],0)</f>
        <v>59</v>
      </c>
      <c r="R60" s="3" t="str">
        <f>IF(Tableau135[[#This Row],[Moyenne]]&lt;5,"Non Validé","Validé")</f>
        <v>Validé</v>
      </c>
    </row>
    <row r="61" spans="1:18" ht="24.95" customHeight="1" thickBot="1" x14ac:dyDescent="0.3">
      <c r="A61" s="2">
        <v>77</v>
      </c>
      <c r="B61" s="9" t="s">
        <v>20</v>
      </c>
      <c r="C61" s="12" t="s">
        <v>142</v>
      </c>
      <c r="D61" s="12">
        <v>8</v>
      </c>
      <c r="E61" s="50">
        <v>8</v>
      </c>
      <c r="F61" s="12">
        <v>9</v>
      </c>
      <c r="G61" s="50">
        <v>8</v>
      </c>
      <c r="H61" s="12">
        <v>7</v>
      </c>
      <c r="I61" s="12">
        <v>9</v>
      </c>
      <c r="J61" s="12">
        <v>4</v>
      </c>
      <c r="K61" s="12">
        <v>5</v>
      </c>
      <c r="L61" s="12">
        <v>3</v>
      </c>
      <c r="M61" s="12">
        <v>10</v>
      </c>
      <c r="N61" s="49">
        <v>8</v>
      </c>
      <c r="O61" s="14">
        <f>SUM(Tableau135[[#This Row],[Exercices d''obsevation]:[TIC]])</f>
        <v>79</v>
      </c>
      <c r="P61" s="26">
        <f>AVERAGE(Tableau135[[#This Row],[Exercices d''obsevation]:[TIC]])</f>
        <v>7.1818181818181817</v>
      </c>
      <c r="Q61" s="14">
        <f>RANK(Tableau135[[#This Row],[Moyenne]],Tableau135[Moyenne],0)</f>
        <v>59</v>
      </c>
      <c r="R61" s="10" t="str">
        <f>IF(Tableau135[[#This Row],[Moyenne]]&lt;5,"Non Validé","Validé")</f>
        <v>Validé</v>
      </c>
    </row>
    <row r="62" spans="1:18" ht="24.95" customHeight="1" thickBot="1" x14ac:dyDescent="0.3">
      <c r="A62" s="2">
        <v>80</v>
      </c>
      <c r="B62" s="9" t="s">
        <v>16</v>
      </c>
      <c r="C62" s="12" t="s">
        <v>142</v>
      </c>
      <c r="D62" s="12">
        <v>9</v>
      </c>
      <c r="E62" s="50">
        <v>10</v>
      </c>
      <c r="F62" s="12">
        <v>9</v>
      </c>
      <c r="G62" s="50">
        <v>7</v>
      </c>
      <c r="H62" s="12">
        <v>8</v>
      </c>
      <c r="I62" s="12">
        <v>4</v>
      </c>
      <c r="J62" s="12">
        <v>3</v>
      </c>
      <c r="K62" s="12">
        <v>6</v>
      </c>
      <c r="L62" s="12">
        <v>3</v>
      </c>
      <c r="M62" s="12">
        <v>10</v>
      </c>
      <c r="N62" s="49">
        <v>10</v>
      </c>
      <c r="O62" s="14">
        <f>SUM(Tableau135[[#This Row],[Exercices d''obsevation]:[TIC]])</f>
        <v>79</v>
      </c>
      <c r="P62" s="26">
        <f>AVERAGE(Tableau135[[#This Row],[Exercices d''obsevation]:[TIC]])</f>
        <v>7.1818181818181817</v>
      </c>
      <c r="Q62" s="14">
        <f>RANK(Tableau135[[#This Row],[Moyenne]],Tableau135[Moyenne],0)</f>
        <v>59</v>
      </c>
      <c r="R62" s="10" t="str">
        <f>IF(Tableau135[[#This Row],[Moyenne]]&lt;5,"Non Validé","Validé")</f>
        <v>Validé</v>
      </c>
    </row>
    <row r="63" spans="1:18" ht="24.95" customHeight="1" thickBot="1" x14ac:dyDescent="0.3">
      <c r="A63" s="2">
        <v>87</v>
      </c>
      <c r="B63" s="1" t="s">
        <v>131</v>
      </c>
      <c r="C63" s="44" t="s">
        <v>143</v>
      </c>
      <c r="D63" s="11">
        <v>9</v>
      </c>
      <c r="E63" s="39">
        <v>10</v>
      </c>
      <c r="F63" s="11">
        <v>8</v>
      </c>
      <c r="G63" s="38">
        <v>6</v>
      </c>
      <c r="H63" s="11">
        <v>7</v>
      </c>
      <c r="I63" s="11">
        <v>6</v>
      </c>
      <c r="J63" s="11">
        <v>2</v>
      </c>
      <c r="K63" s="11">
        <v>8</v>
      </c>
      <c r="L63" s="11">
        <v>3</v>
      </c>
      <c r="M63" s="11">
        <v>10</v>
      </c>
      <c r="N63" s="48">
        <v>10</v>
      </c>
      <c r="O63" s="11">
        <f>SUM(Tableau135[[#This Row],[Exercices d''obsevation]:[TIC]])</f>
        <v>79</v>
      </c>
      <c r="P63" s="25">
        <f>AVERAGE(Tableau135[[#This Row],[Exercices d''obsevation]:[TIC]])</f>
        <v>7.1818181818181817</v>
      </c>
      <c r="Q63" s="11">
        <f>RANK(Tableau135[[#This Row],[Moyenne]],Tableau135[Moyenne],0)</f>
        <v>59</v>
      </c>
      <c r="R63" s="3" t="str">
        <f>IF(Tableau135[[#This Row],[Moyenne]]&lt;5,"Non Validé","Validé")</f>
        <v>Validé</v>
      </c>
    </row>
    <row r="64" spans="1:18" ht="24.95" customHeight="1" thickBot="1" x14ac:dyDescent="0.3">
      <c r="A64" s="2">
        <v>111</v>
      </c>
      <c r="B64" s="1" t="s">
        <v>135</v>
      </c>
      <c r="C64" s="44" t="s">
        <v>143</v>
      </c>
      <c r="D64" s="11">
        <v>9</v>
      </c>
      <c r="E64" s="46">
        <v>8</v>
      </c>
      <c r="F64" s="11">
        <v>9</v>
      </c>
      <c r="G64" s="47">
        <v>4</v>
      </c>
      <c r="H64" s="11">
        <v>5</v>
      </c>
      <c r="I64" s="11">
        <v>9</v>
      </c>
      <c r="J64" s="11">
        <v>4</v>
      </c>
      <c r="K64" s="11">
        <v>6</v>
      </c>
      <c r="L64" s="11">
        <v>5</v>
      </c>
      <c r="M64" s="11">
        <v>10</v>
      </c>
      <c r="N64" s="48">
        <v>10</v>
      </c>
      <c r="O64" s="11">
        <f>SUM(Tableau135[[#This Row],[Exercices d''obsevation]:[TIC]])</f>
        <v>79</v>
      </c>
      <c r="P64" s="25">
        <f>AVERAGE(Tableau135[[#This Row],[Exercices d''obsevation]:[TIC]])</f>
        <v>7.1818181818181817</v>
      </c>
      <c r="Q64" s="11">
        <f>RANK(Tableau135[[#This Row],[Moyenne]],Tableau135[Moyenne],0)</f>
        <v>59</v>
      </c>
      <c r="R64" s="3" t="str">
        <f>IF(Tableau135[[#This Row],[Moyenne]]&lt;5,"Non Validé","Validé")</f>
        <v>Validé</v>
      </c>
    </row>
    <row r="65" spans="1:18" ht="24.95" customHeight="1" thickBot="1" x14ac:dyDescent="0.3">
      <c r="A65" s="2">
        <v>95</v>
      </c>
      <c r="B65" s="9" t="s">
        <v>52</v>
      </c>
      <c r="C65" s="12" t="s">
        <v>142</v>
      </c>
      <c r="D65" s="12">
        <v>6</v>
      </c>
      <c r="E65" s="50">
        <v>10</v>
      </c>
      <c r="F65" s="12">
        <v>8</v>
      </c>
      <c r="G65" s="50">
        <v>4</v>
      </c>
      <c r="H65" s="12">
        <v>7</v>
      </c>
      <c r="I65" s="12">
        <v>10</v>
      </c>
      <c r="J65" s="12">
        <v>5</v>
      </c>
      <c r="K65" s="12">
        <v>7</v>
      </c>
      <c r="L65" s="12">
        <v>9</v>
      </c>
      <c r="M65" s="12">
        <v>10</v>
      </c>
      <c r="N65" s="49">
        <v>2</v>
      </c>
      <c r="O65" s="14">
        <f>SUM(Tableau135[[#This Row],[Exercices d''obsevation]:[TIC]])</f>
        <v>78</v>
      </c>
      <c r="P65" s="26">
        <f>AVERAGE(Tableau135[[#This Row],[Exercices d''obsevation]:[TIC]])</f>
        <v>7.0909090909090908</v>
      </c>
      <c r="Q65" s="14">
        <f>RANK(Tableau135[[#This Row],[Moyenne]],Tableau135[Moyenne],0)</f>
        <v>64</v>
      </c>
      <c r="R65" s="10" t="str">
        <f>IF(Tableau135[[#This Row],[Moyenne]]&lt;5,"Non Validé","Validé")</f>
        <v>Validé</v>
      </c>
    </row>
    <row r="66" spans="1:18" ht="24.95" customHeight="1" thickBot="1" x14ac:dyDescent="0.3">
      <c r="A66" s="2">
        <v>27</v>
      </c>
      <c r="B66" s="9" t="s">
        <v>86</v>
      </c>
      <c r="C66" s="12" t="s">
        <v>142</v>
      </c>
      <c r="D66" s="12">
        <v>10</v>
      </c>
      <c r="E66" s="50">
        <v>10</v>
      </c>
      <c r="F66" s="12">
        <v>8</v>
      </c>
      <c r="G66" s="50">
        <v>9</v>
      </c>
      <c r="H66" s="12">
        <v>6</v>
      </c>
      <c r="I66" s="12">
        <v>9</v>
      </c>
      <c r="J66" s="12">
        <v>0</v>
      </c>
      <c r="K66" s="12">
        <v>7</v>
      </c>
      <c r="L66" s="12">
        <v>3</v>
      </c>
      <c r="M66" s="12">
        <v>10</v>
      </c>
      <c r="N66" s="49">
        <v>6</v>
      </c>
      <c r="O66" s="14">
        <f>SUM(Tableau135[[#This Row],[Exercices d''obsevation]:[TIC]])</f>
        <v>78</v>
      </c>
      <c r="P66" s="26">
        <f>AVERAGE(Tableau135[[#This Row],[Exercices d''obsevation]:[TIC]])</f>
        <v>7.0909090909090908</v>
      </c>
      <c r="Q66" s="14">
        <f>RANK(Tableau135[[#This Row],[Moyenne]],Tableau135[Moyenne],0)</f>
        <v>64</v>
      </c>
      <c r="R66" s="10" t="str">
        <f>IF(Tableau135[[#This Row],[Moyenne]]&lt;5,"Non Validé","Validé")</f>
        <v>Validé</v>
      </c>
    </row>
    <row r="67" spans="1:18" ht="24.95" customHeight="1" thickBot="1" x14ac:dyDescent="0.3">
      <c r="A67" s="2">
        <v>5</v>
      </c>
      <c r="B67" s="9" t="s">
        <v>14</v>
      </c>
      <c r="C67" s="12" t="s">
        <v>142</v>
      </c>
      <c r="D67" s="12">
        <v>9</v>
      </c>
      <c r="E67" s="50">
        <v>10</v>
      </c>
      <c r="F67" s="12">
        <v>6</v>
      </c>
      <c r="G67" s="50">
        <v>8</v>
      </c>
      <c r="H67" s="12">
        <v>6</v>
      </c>
      <c r="I67" s="12">
        <v>8</v>
      </c>
      <c r="J67" s="12">
        <v>3</v>
      </c>
      <c r="K67" s="12">
        <v>3</v>
      </c>
      <c r="L67" s="12">
        <v>5</v>
      </c>
      <c r="M67" s="12">
        <v>10</v>
      </c>
      <c r="N67" s="49">
        <v>10</v>
      </c>
      <c r="O67" s="14">
        <f>SUM(Tableau135[[#This Row],[Exercices d''obsevation]:[TIC]])</f>
        <v>78</v>
      </c>
      <c r="P67" s="26">
        <f>AVERAGE(Tableau135[[#This Row],[Exercices d''obsevation]:[TIC]])</f>
        <v>7.0909090909090908</v>
      </c>
      <c r="Q67" s="14">
        <f>RANK(Tableau135[[#This Row],[Moyenne]],Tableau135[Moyenne],0)</f>
        <v>64</v>
      </c>
      <c r="R67" s="10" t="str">
        <f>IF(Tableau135[[#This Row],[Moyenne]]&lt;5,"Non Validé","Validé")</f>
        <v>Validé</v>
      </c>
    </row>
    <row r="68" spans="1:18" ht="24.95" customHeight="1" thickBot="1" x14ac:dyDescent="0.3">
      <c r="A68" s="2">
        <v>38</v>
      </c>
      <c r="B68" s="1" t="s">
        <v>67</v>
      </c>
      <c r="C68" s="44" t="s">
        <v>143</v>
      </c>
      <c r="D68" s="11">
        <v>6</v>
      </c>
      <c r="E68" s="39">
        <v>8</v>
      </c>
      <c r="F68" s="11">
        <v>9</v>
      </c>
      <c r="G68" s="38">
        <v>8</v>
      </c>
      <c r="H68" s="11">
        <v>7</v>
      </c>
      <c r="I68" s="11">
        <v>10</v>
      </c>
      <c r="J68" s="11">
        <v>2</v>
      </c>
      <c r="K68" s="11">
        <v>6</v>
      </c>
      <c r="L68" s="11">
        <v>2</v>
      </c>
      <c r="M68" s="11">
        <v>10</v>
      </c>
      <c r="N68" s="48">
        <v>10</v>
      </c>
      <c r="O68" s="11">
        <f>SUM(Tableau135[[#This Row],[Exercices d''obsevation]:[TIC]])</f>
        <v>78</v>
      </c>
      <c r="P68" s="25">
        <f>AVERAGE(Tableau135[[#This Row],[Exercices d''obsevation]:[TIC]])</f>
        <v>7.0909090909090908</v>
      </c>
      <c r="Q68" s="11">
        <f>RANK(Tableau135[[#This Row],[Moyenne]],Tableau135[Moyenne],0)</f>
        <v>64</v>
      </c>
      <c r="R68" s="3" t="str">
        <f>IF(Tableau135[[#This Row],[Moyenne]]&lt;5,"Non Validé","Validé")</f>
        <v>Validé</v>
      </c>
    </row>
    <row r="69" spans="1:18" ht="24.95" customHeight="1" thickBot="1" x14ac:dyDescent="0.3">
      <c r="A69" s="2">
        <v>66</v>
      </c>
      <c r="B69" s="27" t="s">
        <v>113</v>
      </c>
      <c r="C69" s="12" t="s">
        <v>142</v>
      </c>
      <c r="D69" s="14">
        <v>8</v>
      </c>
      <c r="E69" s="50">
        <v>10</v>
      </c>
      <c r="F69" s="14">
        <v>9</v>
      </c>
      <c r="G69" s="50">
        <v>2</v>
      </c>
      <c r="H69" s="14">
        <v>7</v>
      </c>
      <c r="I69" s="14">
        <v>10</v>
      </c>
      <c r="J69" s="14">
        <v>3</v>
      </c>
      <c r="K69" s="14">
        <v>5</v>
      </c>
      <c r="L69" s="14">
        <v>5</v>
      </c>
      <c r="M69" s="14">
        <v>8</v>
      </c>
      <c r="N69" s="53">
        <v>10</v>
      </c>
      <c r="O69" s="14">
        <f>SUM(Tableau135[[#This Row],[Exercices d''obsevation]:[TIC]])</f>
        <v>77</v>
      </c>
      <c r="P69" s="26">
        <f>AVERAGE(Tableau135[[#This Row],[Exercices d''obsevation]:[TIC]])</f>
        <v>7</v>
      </c>
      <c r="Q69" s="14">
        <f>RANK(Tableau135[[#This Row],[Moyenne]],Tableau135[Moyenne],0)</f>
        <v>68</v>
      </c>
      <c r="R69" s="28" t="str">
        <f>IF(Tableau135[[#This Row],[Moyenne]]&lt;5,"Non Validé","Validé")</f>
        <v>Validé</v>
      </c>
    </row>
    <row r="70" spans="1:18" ht="24.95" customHeight="1" thickBot="1" x14ac:dyDescent="0.3">
      <c r="A70" s="2">
        <v>86</v>
      </c>
      <c r="B70" s="1" t="s">
        <v>62</v>
      </c>
      <c r="C70" s="44" t="s">
        <v>143</v>
      </c>
      <c r="D70" s="11">
        <v>7</v>
      </c>
      <c r="E70" s="39">
        <v>10</v>
      </c>
      <c r="F70" s="11">
        <v>8</v>
      </c>
      <c r="G70" s="38">
        <v>6</v>
      </c>
      <c r="H70" s="11">
        <v>7</v>
      </c>
      <c r="I70" s="11">
        <v>7</v>
      </c>
      <c r="J70" s="11">
        <v>3</v>
      </c>
      <c r="K70" s="11">
        <v>7</v>
      </c>
      <c r="L70" s="11">
        <v>4</v>
      </c>
      <c r="M70" s="11">
        <v>10</v>
      </c>
      <c r="N70" s="48">
        <v>8</v>
      </c>
      <c r="O70" s="11">
        <f>SUM(Tableau135[[#This Row],[Exercices d''obsevation]:[TIC]])</f>
        <v>77</v>
      </c>
      <c r="P70" s="25">
        <f>AVERAGE(Tableau135[[#This Row],[Exercices d''obsevation]:[TIC]])</f>
        <v>7</v>
      </c>
      <c r="Q70" s="11">
        <f>RANK(Tableau135[[#This Row],[Moyenne]],Tableau135[Moyenne],0)</f>
        <v>68</v>
      </c>
      <c r="R70" s="3" t="str">
        <f>IF(Tableau135[[#This Row],[Moyenne]]&lt;5,"Non Validé","Validé")</f>
        <v>Validé</v>
      </c>
    </row>
    <row r="71" spans="1:18" ht="24.95" customHeight="1" thickBot="1" x14ac:dyDescent="0.3">
      <c r="A71" s="2">
        <v>59</v>
      </c>
      <c r="B71" s="1" t="s">
        <v>63</v>
      </c>
      <c r="C71" s="44" t="s">
        <v>143</v>
      </c>
      <c r="D71" s="11">
        <v>9</v>
      </c>
      <c r="E71" s="39">
        <v>10</v>
      </c>
      <c r="F71" s="11">
        <v>7</v>
      </c>
      <c r="G71" s="38">
        <v>5</v>
      </c>
      <c r="H71" s="11">
        <v>8</v>
      </c>
      <c r="I71" s="11">
        <v>9</v>
      </c>
      <c r="J71" s="11">
        <v>0</v>
      </c>
      <c r="K71" s="11">
        <v>6</v>
      </c>
      <c r="L71" s="11">
        <v>5</v>
      </c>
      <c r="M71" s="11">
        <v>10</v>
      </c>
      <c r="N71" s="40">
        <v>8</v>
      </c>
      <c r="O71" s="11">
        <f>SUM(Tableau135[[#This Row],[Exercices d''obsevation]:[TIC]])</f>
        <v>77</v>
      </c>
      <c r="P71" s="25">
        <f>AVERAGE(Tableau135[[#This Row],[Exercices d''obsevation]:[TIC]])</f>
        <v>7</v>
      </c>
      <c r="Q71" s="11">
        <f>RANK(Tableau135[[#This Row],[Moyenne]],Tableau135[Moyenne],0)</f>
        <v>68</v>
      </c>
      <c r="R71" s="3" t="str">
        <f>IF(Tableau135[[#This Row],[Moyenne]]&lt;5,"Non Validé","Validé")</f>
        <v>Validé</v>
      </c>
    </row>
    <row r="72" spans="1:18" ht="24.95" customHeight="1" thickBot="1" x14ac:dyDescent="0.3">
      <c r="A72" s="2">
        <v>63</v>
      </c>
      <c r="B72" s="1" t="s">
        <v>15</v>
      </c>
      <c r="C72" s="44" t="s">
        <v>143</v>
      </c>
      <c r="D72" s="11">
        <v>8</v>
      </c>
      <c r="E72" s="39">
        <v>10</v>
      </c>
      <c r="F72" s="11">
        <v>9</v>
      </c>
      <c r="G72" s="38">
        <v>6</v>
      </c>
      <c r="H72" s="11">
        <v>6</v>
      </c>
      <c r="I72" s="11">
        <v>10</v>
      </c>
      <c r="J72" s="11">
        <v>0</v>
      </c>
      <c r="K72" s="11">
        <v>8</v>
      </c>
      <c r="L72" s="11">
        <v>2</v>
      </c>
      <c r="M72" s="11">
        <v>10</v>
      </c>
      <c r="N72" s="48">
        <v>8</v>
      </c>
      <c r="O72" s="11">
        <f>SUM(Tableau135[[#This Row],[Exercices d''obsevation]:[TIC]])</f>
        <v>77</v>
      </c>
      <c r="P72" s="25">
        <f>AVERAGE(Tableau135[[#This Row],[Exercices d''obsevation]:[TIC]])</f>
        <v>7</v>
      </c>
      <c r="Q72" s="11">
        <f>RANK(Tableau135[[#This Row],[Moyenne]],Tableau135[Moyenne],0)</f>
        <v>68</v>
      </c>
      <c r="R72" s="3" t="str">
        <f>IF(Tableau135[[#This Row],[Moyenne]]&lt;5,"Non Validé","Validé")</f>
        <v>Validé</v>
      </c>
    </row>
    <row r="73" spans="1:18" ht="24.95" customHeight="1" thickBot="1" x14ac:dyDescent="0.3">
      <c r="A73" s="2">
        <v>84</v>
      </c>
      <c r="B73" s="9" t="s">
        <v>11</v>
      </c>
      <c r="C73" s="12" t="s">
        <v>142</v>
      </c>
      <c r="D73" s="12">
        <v>8</v>
      </c>
      <c r="E73" s="50">
        <v>10</v>
      </c>
      <c r="F73" s="12">
        <v>9</v>
      </c>
      <c r="G73" s="50">
        <v>6</v>
      </c>
      <c r="H73" s="12">
        <v>6</v>
      </c>
      <c r="I73" s="12">
        <v>6</v>
      </c>
      <c r="J73" s="12">
        <v>0</v>
      </c>
      <c r="K73" s="12">
        <v>6</v>
      </c>
      <c r="L73" s="12">
        <v>6</v>
      </c>
      <c r="M73" s="12">
        <v>10</v>
      </c>
      <c r="N73" s="49">
        <v>10</v>
      </c>
      <c r="O73" s="14">
        <f>SUM(Tableau135[[#This Row],[Exercices d''obsevation]:[TIC]])</f>
        <v>77</v>
      </c>
      <c r="P73" s="26">
        <f>AVERAGE(Tableau135[[#This Row],[Exercices d''obsevation]:[TIC]])</f>
        <v>7</v>
      </c>
      <c r="Q73" s="14">
        <f>RANK(Tableau135[[#This Row],[Moyenne]],Tableau135[Moyenne],0)</f>
        <v>68</v>
      </c>
      <c r="R73" s="10" t="str">
        <f>IF(Tableau135[[#This Row],[Moyenne]]&lt;5,"Non Validé","Validé")</f>
        <v>Validé</v>
      </c>
    </row>
    <row r="74" spans="1:18" ht="24.95" customHeight="1" thickBot="1" x14ac:dyDescent="0.3">
      <c r="A74" s="2">
        <v>113</v>
      </c>
      <c r="B74" s="1" t="s">
        <v>4</v>
      </c>
      <c r="C74" s="44" t="s">
        <v>143</v>
      </c>
      <c r="D74" s="11">
        <v>8</v>
      </c>
      <c r="E74" s="48">
        <v>10</v>
      </c>
      <c r="F74" s="11">
        <v>7</v>
      </c>
      <c r="G74" s="48">
        <v>8</v>
      </c>
      <c r="H74" s="11">
        <v>5</v>
      </c>
      <c r="I74" s="11">
        <v>9</v>
      </c>
      <c r="J74" s="11">
        <v>3</v>
      </c>
      <c r="K74" s="11">
        <v>5</v>
      </c>
      <c r="L74" s="11">
        <v>6</v>
      </c>
      <c r="M74" s="11">
        <v>10</v>
      </c>
      <c r="N74" s="48">
        <v>5</v>
      </c>
      <c r="O74" s="11">
        <f>SUM(Tableau135[[#This Row],[Exercices d''obsevation]:[TIC]])</f>
        <v>76</v>
      </c>
      <c r="P74" s="25">
        <f>AVERAGE(Tableau135[[#This Row],[Exercices d''obsevation]:[TIC]])</f>
        <v>6.9090909090909092</v>
      </c>
      <c r="Q74" s="11">
        <f>RANK(Tableau135[[#This Row],[Moyenne]],Tableau135[Moyenne],0)</f>
        <v>73</v>
      </c>
      <c r="R74" s="3" t="str">
        <f>IF(Tableau135[[#This Row],[Moyenne]]&lt;5,"Non Validé","Validé")</f>
        <v>Validé</v>
      </c>
    </row>
    <row r="75" spans="1:18" ht="24.95" customHeight="1" thickBot="1" x14ac:dyDescent="0.3">
      <c r="A75" s="2">
        <v>26</v>
      </c>
      <c r="B75" s="9" t="s">
        <v>85</v>
      </c>
      <c r="C75" s="12" t="s">
        <v>142</v>
      </c>
      <c r="D75" s="12">
        <v>9</v>
      </c>
      <c r="E75" s="50">
        <v>10</v>
      </c>
      <c r="F75" s="12">
        <v>7</v>
      </c>
      <c r="G75" s="50">
        <v>4</v>
      </c>
      <c r="H75" s="12">
        <v>8</v>
      </c>
      <c r="I75" s="12">
        <v>9</v>
      </c>
      <c r="J75" s="12">
        <v>5</v>
      </c>
      <c r="K75" s="12">
        <v>7</v>
      </c>
      <c r="L75" s="12">
        <v>2</v>
      </c>
      <c r="M75" s="12">
        <v>10</v>
      </c>
      <c r="N75" s="49">
        <v>5</v>
      </c>
      <c r="O75" s="14">
        <f>SUM(Tableau135[[#This Row],[Exercices d''obsevation]:[TIC]])</f>
        <v>76</v>
      </c>
      <c r="P75" s="26">
        <f>AVERAGE(Tableau135[[#This Row],[Exercices d''obsevation]:[TIC]])</f>
        <v>6.9090909090909092</v>
      </c>
      <c r="Q75" s="14">
        <f>RANK(Tableau135[[#This Row],[Moyenne]],Tableau135[Moyenne],0)</f>
        <v>73</v>
      </c>
      <c r="R75" s="10" t="str">
        <f>IF(Tableau135[[#This Row],[Moyenne]]&lt;5,"Non Validé","Validé")</f>
        <v>Validé</v>
      </c>
    </row>
    <row r="76" spans="1:18" ht="24.95" customHeight="1" thickBot="1" x14ac:dyDescent="0.3">
      <c r="A76" s="2">
        <v>33</v>
      </c>
      <c r="B76" s="9" t="s">
        <v>26</v>
      </c>
      <c r="C76" s="12" t="s">
        <v>142</v>
      </c>
      <c r="D76" s="12">
        <v>7</v>
      </c>
      <c r="E76" s="50">
        <v>10</v>
      </c>
      <c r="F76" s="12">
        <v>7</v>
      </c>
      <c r="G76" s="50">
        <v>7</v>
      </c>
      <c r="H76" s="12">
        <v>8</v>
      </c>
      <c r="I76" s="12">
        <v>9</v>
      </c>
      <c r="J76" s="12">
        <v>1</v>
      </c>
      <c r="K76" s="12">
        <v>5</v>
      </c>
      <c r="L76" s="12">
        <v>4</v>
      </c>
      <c r="M76" s="12">
        <v>10</v>
      </c>
      <c r="N76" s="41">
        <v>8</v>
      </c>
      <c r="O76" s="14">
        <f>SUM(Tableau135[[#This Row],[Exercices d''obsevation]:[TIC]])</f>
        <v>76</v>
      </c>
      <c r="P76" s="26">
        <f>AVERAGE(Tableau135[[#This Row],[Exercices d''obsevation]:[TIC]])</f>
        <v>6.9090909090909092</v>
      </c>
      <c r="Q76" s="14">
        <f>RANK(Tableau135[[#This Row],[Moyenne]],Tableau135[Moyenne],0)</f>
        <v>73</v>
      </c>
      <c r="R76" s="10" t="str">
        <f>IF(Tableau135[[#This Row],[Moyenne]]&lt;5,"Non Validé","Validé")</f>
        <v>Validé</v>
      </c>
    </row>
    <row r="77" spans="1:18" ht="24.95" customHeight="1" thickBot="1" x14ac:dyDescent="0.3">
      <c r="A77" s="36">
        <v>35</v>
      </c>
      <c r="B77" s="9" t="s">
        <v>126</v>
      </c>
      <c r="C77" s="12" t="s">
        <v>142</v>
      </c>
      <c r="D77" s="12">
        <v>5</v>
      </c>
      <c r="E77" s="50">
        <v>10</v>
      </c>
      <c r="F77" s="12">
        <v>8</v>
      </c>
      <c r="G77" s="50">
        <v>4</v>
      </c>
      <c r="H77" s="12">
        <v>8</v>
      </c>
      <c r="I77" s="12">
        <v>8</v>
      </c>
      <c r="J77" s="12">
        <v>0</v>
      </c>
      <c r="K77" s="12">
        <v>6</v>
      </c>
      <c r="L77" s="12">
        <v>7</v>
      </c>
      <c r="M77" s="12">
        <v>10</v>
      </c>
      <c r="N77" s="49">
        <v>10</v>
      </c>
      <c r="O77" s="12">
        <f>SUM(Tableau135[[#This Row],[Exercices d''obsevation]:[TIC]])</f>
        <v>76</v>
      </c>
      <c r="P77" s="37">
        <f>AVERAGE(Tableau135[[#This Row],[Exercices d''obsevation]:[TIC]])</f>
        <v>6.9090909090909092</v>
      </c>
      <c r="Q77" s="12">
        <f>RANK(Tableau135[[#This Row],[Moyenne]],Tableau135[Moyenne],0)</f>
        <v>73</v>
      </c>
      <c r="R77" s="10" t="str">
        <f>IF(Tableau135[[#This Row],[Moyenne]]&lt;5,"Non Validé","Validé")</f>
        <v>Validé</v>
      </c>
    </row>
    <row r="78" spans="1:18" ht="16.5" thickBot="1" x14ac:dyDescent="0.3">
      <c r="A78" s="36">
        <v>45</v>
      </c>
      <c r="B78" s="9" t="s">
        <v>114</v>
      </c>
      <c r="C78" s="12" t="s">
        <v>142</v>
      </c>
      <c r="D78" s="12">
        <v>9</v>
      </c>
      <c r="E78" s="50">
        <v>10</v>
      </c>
      <c r="F78" s="12">
        <v>9</v>
      </c>
      <c r="G78" s="50">
        <v>4</v>
      </c>
      <c r="H78" s="12">
        <v>6</v>
      </c>
      <c r="I78" s="12">
        <v>9</v>
      </c>
      <c r="J78" s="12">
        <v>1</v>
      </c>
      <c r="K78" s="12">
        <v>6</v>
      </c>
      <c r="L78" s="12">
        <v>2</v>
      </c>
      <c r="M78" s="12">
        <v>10</v>
      </c>
      <c r="N78" s="49">
        <v>10</v>
      </c>
      <c r="O78" s="12">
        <f>SUM(Tableau135[[#This Row],[Exercices d''obsevation]:[TIC]])</f>
        <v>76</v>
      </c>
      <c r="P78" s="37">
        <f>AVERAGE(Tableau135[[#This Row],[Exercices d''obsevation]:[TIC]])</f>
        <v>6.9090909090909092</v>
      </c>
      <c r="Q78" s="12">
        <f>RANK(Tableau135[[#This Row],[Moyenne]],Tableau135[Moyenne],0)</f>
        <v>73</v>
      </c>
      <c r="R78" s="10" t="str">
        <f>IF(Tableau135[[#This Row],[Moyenne]]&lt;5,"Non Validé","Validé")</f>
        <v>Validé</v>
      </c>
    </row>
    <row r="79" spans="1:18" ht="24.95" customHeight="1" thickBot="1" x14ac:dyDescent="0.3">
      <c r="A79" s="2">
        <v>51</v>
      </c>
      <c r="B79" s="9" t="s">
        <v>41</v>
      </c>
      <c r="C79" s="12" t="s">
        <v>142</v>
      </c>
      <c r="D79" s="11">
        <v>9</v>
      </c>
      <c r="E79" s="50">
        <v>10</v>
      </c>
      <c r="F79" s="12">
        <v>9</v>
      </c>
      <c r="G79" s="50">
        <v>6</v>
      </c>
      <c r="H79" s="12">
        <v>6</v>
      </c>
      <c r="I79" s="12">
        <v>9</v>
      </c>
      <c r="J79" s="12">
        <v>4</v>
      </c>
      <c r="K79" s="12">
        <v>5</v>
      </c>
      <c r="L79" s="12">
        <v>3</v>
      </c>
      <c r="M79" s="12">
        <v>8</v>
      </c>
      <c r="N79" s="49">
        <v>5</v>
      </c>
      <c r="O79" s="14">
        <f>SUM(Tableau135[[#This Row],[Exercices d''obsevation]:[TIC]])</f>
        <v>74</v>
      </c>
      <c r="P79" s="26">
        <f>AVERAGE(Tableau135[[#This Row],[Exercices d''obsevation]:[TIC]])</f>
        <v>6.7272727272727275</v>
      </c>
      <c r="Q79" s="14">
        <f>RANK(Tableau135[[#This Row],[Moyenne]],Tableau135[Moyenne],0)</f>
        <v>78</v>
      </c>
      <c r="R79" s="10" t="str">
        <f>IF(Tableau135[[#This Row],[Moyenne]]&lt;5,"Non Validé","Validé")</f>
        <v>Validé</v>
      </c>
    </row>
    <row r="80" spans="1:18" ht="24.95" customHeight="1" thickBot="1" x14ac:dyDescent="0.3">
      <c r="A80" s="2">
        <v>100</v>
      </c>
      <c r="B80" s="1" t="s">
        <v>116</v>
      </c>
      <c r="C80" s="44" t="s">
        <v>143</v>
      </c>
      <c r="D80" s="11">
        <v>8</v>
      </c>
      <c r="E80" s="39">
        <v>10</v>
      </c>
      <c r="F80" s="11">
        <v>8</v>
      </c>
      <c r="G80" s="38">
        <v>3</v>
      </c>
      <c r="H80" s="11">
        <v>4</v>
      </c>
      <c r="I80" s="11">
        <v>10</v>
      </c>
      <c r="J80" s="11">
        <v>2</v>
      </c>
      <c r="K80" s="11">
        <v>6</v>
      </c>
      <c r="L80" s="11">
        <v>4</v>
      </c>
      <c r="M80" s="11">
        <v>9</v>
      </c>
      <c r="N80" s="48">
        <v>10</v>
      </c>
      <c r="O80" s="11">
        <f>SUM(Tableau135[[#This Row],[Exercices d''obsevation]:[TIC]])</f>
        <v>74</v>
      </c>
      <c r="P80" s="25">
        <f>AVERAGE(Tableau135[[#This Row],[Exercices d''obsevation]:[TIC]])</f>
        <v>6.7272727272727275</v>
      </c>
      <c r="Q80" s="11">
        <f>RANK(Tableau135[[#This Row],[Moyenne]],Tableau135[Moyenne],0)</f>
        <v>78</v>
      </c>
      <c r="R80" s="3" t="str">
        <f>IF(Tableau135[[#This Row],[Moyenne]]&lt;5,"Non Validé","Validé")</f>
        <v>Validé</v>
      </c>
    </row>
    <row r="81" spans="1:18" ht="24.95" customHeight="1" thickBot="1" x14ac:dyDescent="0.3">
      <c r="A81" s="2">
        <v>110</v>
      </c>
      <c r="B81" s="1" t="s">
        <v>134</v>
      </c>
      <c r="C81" s="44" t="s">
        <v>143</v>
      </c>
      <c r="D81" s="11">
        <v>8</v>
      </c>
      <c r="E81" s="39">
        <v>10</v>
      </c>
      <c r="F81" s="11">
        <v>4</v>
      </c>
      <c r="G81" s="38">
        <v>8</v>
      </c>
      <c r="H81" s="11">
        <v>7</v>
      </c>
      <c r="I81" s="11">
        <v>10</v>
      </c>
      <c r="J81" s="11">
        <v>1</v>
      </c>
      <c r="K81" s="11">
        <v>6</v>
      </c>
      <c r="L81" s="11">
        <v>6</v>
      </c>
      <c r="M81" s="11">
        <v>10</v>
      </c>
      <c r="N81" s="40">
        <v>4</v>
      </c>
      <c r="O81" s="11">
        <f>SUM(Tableau135[[#This Row],[Exercices d''obsevation]:[TIC]])</f>
        <v>74</v>
      </c>
      <c r="P81" s="25">
        <f>AVERAGE(Tableau135[[#This Row],[Exercices d''obsevation]:[TIC]])</f>
        <v>6.7272727272727275</v>
      </c>
      <c r="Q81" s="11">
        <f>RANK(Tableau135[[#This Row],[Moyenne]],Tableau135[Moyenne],0)</f>
        <v>78</v>
      </c>
      <c r="R81" s="3" t="str">
        <f>IF(Tableau135[[#This Row],[Moyenne]]&lt;5,"Non Validé","Validé")</f>
        <v>Validé</v>
      </c>
    </row>
    <row r="82" spans="1:18" ht="24.95" customHeight="1" thickBot="1" x14ac:dyDescent="0.3">
      <c r="A82" s="2">
        <v>109</v>
      </c>
      <c r="B82" s="1" t="s">
        <v>118</v>
      </c>
      <c r="C82" s="44" t="s">
        <v>143</v>
      </c>
      <c r="D82" s="11">
        <v>6</v>
      </c>
      <c r="E82" s="39">
        <v>8</v>
      </c>
      <c r="F82" s="11">
        <v>8</v>
      </c>
      <c r="G82" s="38">
        <v>8</v>
      </c>
      <c r="H82" s="11">
        <v>7</v>
      </c>
      <c r="I82" s="11">
        <v>7</v>
      </c>
      <c r="J82" s="11">
        <v>3</v>
      </c>
      <c r="K82" s="11">
        <v>5</v>
      </c>
      <c r="L82" s="11">
        <v>9</v>
      </c>
      <c r="M82" s="11">
        <v>10</v>
      </c>
      <c r="N82" s="48">
        <v>2</v>
      </c>
      <c r="O82" s="11">
        <f>SUM(Tableau135[[#This Row],[Exercices d''obsevation]:[TIC]])</f>
        <v>73</v>
      </c>
      <c r="P82" s="25">
        <f>AVERAGE(Tableau135[[#This Row],[Exercices d''obsevation]:[TIC]])</f>
        <v>6.6363636363636367</v>
      </c>
      <c r="Q82" s="11">
        <f>RANK(Tableau135[[#This Row],[Moyenne]],Tableau135[Moyenne],0)</f>
        <v>81</v>
      </c>
      <c r="R82" s="3" t="str">
        <f>IF(Tableau135[[#This Row],[Moyenne]]&lt;5,"Non Validé","Validé")</f>
        <v>Validé</v>
      </c>
    </row>
    <row r="83" spans="1:18" ht="24.95" customHeight="1" thickBot="1" x14ac:dyDescent="0.3">
      <c r="A83" s="2">
        <v>20</v>
      </c>
      <c r="B83" s="9" t="s">
        <v>21</v>
      </c>
      <c r="C83" s="12" t="s">
        <v>142</v>
      </c>
      <c r="D83" s="12">
        <v>8</v>
      </c>
      <c r="E83" s="50">
        <v>10</v>
      </c>
      <c r="F83" s="12">
        <v>9</v>
      </c>
      <c r="G83" s="50">
        <v>4</v>
      </c>
      <c r="H83" s="12">
        <v>7</v>
      </c>
      <c r="I83" s="12">
        <v>8</v>
      </c>
      <c r="J83" s="12">
        <v>4</v>
      </c>
      <c r="K83" s="12">
        <v>7</v>
      </c>
      <c r="L83" s="12">
        <v>4</v>
      </c>
      <c r="M83" s="12">
        <v>10</v>
      </c>
      <c r="N83" s="49">
        <v>2</v>
      </c>
      <c r="O83" s="14">
        <f>SUM(Tableau135[[#This Row],[Exercices d''obsevation]:[TIC]])</f>
        <v>73</v>
      </c>
      <c r="P83" s="26">
        <f>AVERAGE(Tableau135[[#This Row],[Exercices d''obsevation]:[TIC]])</f>
        <v>6.6363636363636367</v>
      </c>
      <c r="Q83" s="14">
        <f>RANK(Tableau135[[#This Row],[Moyenne]],Tableau135[Moyenne],0)</f>
        <v>81</v>
      </c>
      <c r="R83" s="10" t="str">
        <f>IF(Tableau135[[#This Row],[Moyenne]]&lt;5,"Non Validé","Validé")</f>
        <v>Validé</v>
      </c>
    </row>
    <row r="84" spans="1:18" ht="24.95" customHeight="1" thickBot="1" x14ac:dyDescent="0.3">
      <c r="A84" s="2">
        <v>37</v>
      </c>
      <c r="B84" s="1" t="s">
        <v>128</v>
      </c>
      <c r="C84" s="44" t="s">
        <v>143</v>
      </c>
      <c r="D84" s="11">
        <v>6</v>
      </c>
      <c r="E84" s="39">
        <v>8</v>
      </c>
      <c r="F84" s="11">
        <v>8</v>
      </c>
      <c r="G84" s="38">
        <v>6</v>
      </c>
      <c r="H84" s="11">
        <v>7</v>
      </c>
      <c r="I84" s="11">
        <v>9</v>
      </c>
      <c r="J84" s="11">
        <v>0</v>
      </c>
      <c r="K84" s="11">
        <v>6</v>
      </c>
      <c r="L84" s="11">
        <v>4</v>
      </c>
      <c r="M84" s="11">
        <v>8</v>
      </c>
      <c r="N84" s="48">
        <v>10</v>
      </c>
      <c r="O84" s="11">
        <f>SUM(Tableau135[[#This Row],[Exercices d''obsevation]:[TIC]])</f>
        <v>72</v>
      </c>
      <c r="P84" s="25">
        <f>AVERAGE(Tableau135[[#This Row],[Exercices d''obsevation]:[TIC]])</f>
        <v>6.5454545454545459</v>
      </c>
      <c r="Q84" s="11">
        <f>RANK(Tableau135[[#This Row],[Moyenne]],Tableau135[Moyenne],0)</f>
        <v>83</v>
      </c>
      <c r="R84" s="3" t="str">
        <f>IF(Tableau135[[#This Row],[Moyenne]]&lt;5,"Non Validé","Validé")</f>
        <v>Validé</v>
      </c>
    </row>
    <row r="85" spans="1:18" ht="24.95" customHeight="1" thickBot="1" x14ac:dyDescent="0.3">
      <c r="A85" s="2">
        <v>9</v>
      </c>
      <c r="B85" s="1" t="s">
        <v>79</v>
      </c>
      <c r="C85" s="44" t="s">
        <v>143</v>
      </c>
      <c r="D85" s="11">
        <v>10</v>
      </c>
      <c r="E85" s="39">
        <v>10</v>
      </c>
      <c r="F85" s="11">
        <v>9</v>
      </c>
      <c r="G85" s="38">
        <v>4</v>
      </c>
      <c r="H85" s="11">
        <v>7</v>
      </c>
      <c r="I85" s="11">
        <v>9</v>
      </c>
      <c r="J85" s="11">
        <v>2</v>
      </c>
      <c r="K85" s="11">
        <v>5</v>
      </c>
      <c r="L85" s="11">
        <v>2</v>
      </c>
      <c r="M85" s="11">
        <v>10</v>
      </c>
      <c r="N85" s="48">
        <v>4</v>
      </c>
      <c r="O85" s="11">
        <f>SUM(Tableau135[[#This Row],[Exercices d''obsevation]:[TIC]])</f>
        <v>72</v>
      </c>
      <c r="P85" s="25">
        <f>AVERAGE(Tableau135[[#This Row],[Exercices d''obsevation]:[TIC]])</f>
        <v>6.5454545454545459</v>
      </c>
      <c r="Q85" s="11">
        <f>RANK(Tableau135[[#This Row],[Moyenne]],Tableau135[Moyenne],0)</f>
        <v>83</v>
      </c>
      <c r="R85" s="3" t="str">
        <f>IF(Tableau135[[#This Row],[Moyenne]]&lt;5,"Non Validé","Validé")</f>
        <v>Validé</v>
      </c>
    </row>
    <row r="86" spans="1:18" ht="24.95" customHeight="1" thickBot="1" x14ac:dyDescent="0.3">
      <c r="A86" s="2">
        <v>98</v>
      </c>
      <c r="B86" s="1" t="s">
        <v>121</v>
      </c>
      <c r="C86" s="44" t="s">
        <v>143</v>
      </c>
      <c r="D86" s="11">
        <v>9</v>
      </c>
      <c r="E86" s="39">
        <v>10</v>
      </c>
      <c r="F86" s="11">
        <v>7</v>
      </c>
      <c r="G86" s="38">
        <v>4</v>
      </c>
      <c r="H86" s="11">
        <v>4</v>
      </c>
      <c r="I86" s="11">
        <v>10</v>
      </c>
      <c r="J86" s="11">
        <v>0</v>
      </c>
      <c r="K86" s="11">
        <v>5</v>
      </c>
      <c r="L86" s="11">
        <v>6</v>
      </c>
      <c r="M86" s="11">
        <v>8</v>
      </c>
      <c r="N86" s="48">
        <v>8</v>
      </c>
      <c r="O86" s="11">
        <f>SUM(Tableau135[[#This Row],[Exercices d''obsevation]:[TIC]])</f>
        <v>71</v>
      </c>
      <c r="P86" s="25">
        <f>AVERAGE(Tableau135[[#This Row],[Exercices d''obsevation]:[TIC]])</f>
        <v>6.4545454545454541</v>
      </c>
      <c r="Q86" s="11">
        <f>RANK(Tableau135[[#This Row],[Moyenne]],Tableau135[Moyenne],0)</f>
        <v>85</v>
      </c>
      <c r="R86" s="3" t="str">
        <f>IF(Tableau135[[#This Row],[Moyenne]]&lt;5,"Non Validé","Validé")</f>
        <v>Validé</v>
      </c>
    </row>
    <row r="87" spans="1:18" ht="24.95" customHeight="1" thickBot="1" x14ac:dyDescent="0.3">
      <c r="A87" s="2">
        <v>72</v>
      </c>
      <c r="B87" s="1" t="s">
        <v>35</v>
      </c>
      <c r="C87" s="44" t="s">
        <v>143</v>
      </c>
      <c r="D87" s="11">
        <v>6</v>
      </c>
      <c r="E87" s="39">
        <v>10</v>
      </c>
      <c r="F87" s="11">
        <v>10</v>
      </c>
      <c r="G87" s="38">
        <v>5</v>
      </c>
      <c r="H87" s="11">
        <v>6</v>
      </c>
      <c r="I87" s="11">
        <v>4</v>
      </c>
      <c r="J87" s="11">
        <v>3</v>
      </c>
      <c r="K87" s="11">
        <v>6</v>
      </c>
      <c r="L87" s="11">
        <v>3</v>
      </c>
      <c r="M87" s="11">
        <v>8</v>
      </c>
      <c r="N87" s="48">
        <v>10</v>
      </c>
      <c r="O87" s="11">
        <f>SUM(Tableau135[[#This Row],[Exercices d''obsevation]:[TIC]])</f>
        <v>71</v>
      </c>
      <c r="P87" s="25">
        <f>AVERAGE(Tableau135[[#This Row],[Exercices d''obsevation]:[TIC]])</f>
        <v>6.4545454545454541</v>
      </c>
      <c r="Q87" s="11">
        <f>RANK(Tableau135[[#This Row],[Moyenne]],Tableau135[Moyenne],0)</f>
        <v>85</v>
      </c>
      <c r="R87" s="3" t="str">
        <f>IF(Tableau135[[#This Row],[Moyenne]]&lt;5,"Non Validé","Validé")</f>
        <v>Validé</v>
      </c>
    </row>
    <row r="88" spans="1:18" ht="24.95" customHeight="1" thickBot="1" x14ac:dyDescent="0.3">
      <c r="A88" s="2">
        <v>32</v>
      </c>
      <c r="B88" s="1" t="s">
        <v>127</v>
      </c>
      <c r="C88" s="44" t="s">
        <v>143</v>
      </c>
      <c r="D88" s="11">
        <v>7</v>
      </c>
      <c r="E88" s="39">
        <v>4</v>
      </c>
      <c r="F88" s="11">
        <v>8</v>
      </c>
      <c r="G88" s="38">
        <v>5</v>
      </c>
      <c r="H88" s="11">
        <v>6</v>
      </c>
      <c r="I88" s="11">
        <v>10</v>
      </c>
      <c r="J88" s="11">
        <v>0</v>
      </c>
      <c r="K88" s="11">
        <v>6</v>
      </c>
      <c r="L88" s="11">
        <v>7</v>
      </c>
      <c r="M88" s="11">
        <v>8</v>
      </c>
      <c r="N88" s="48">
        <v>10</v>
      </c>
      <c r="O88" s="11">
        <f>SUM(Tableau135[[#This Row],[Exercices d''obsevation]:[TIC]])</f>
        <v>71</v>
      </c>
      <c r="P88" s="25">
        <f>AVERAGE(Tableau135[[#This Row],[Exercices d''obsevation]:[TIC]])</f>
        <v>6.4545454545454541</v>
      </c>
      <c r="Q88" s="11">
        <f>RANK(Tableau135[[#This Row],[Moyenne]],Tableau135[Moyenne],0)</f>
        <v>85</v>
      </c>
      <c r="R88" s="3" t="str">
        <f>IF(Tableau135[[#This Row],[Moyenne]]&lt;5,"Non Validé","Validé")</f>
        <v>Validé</v>
      </c>
    </row>
    <row r="89" spans="1:18" ht="30.75" customHeight="1" thickBot="1" x14ac:dyDescent="0.3">
      <c r="A89" s="2">
        <v>24</v>
      </c>
      <c r="B89" s="1" t="s">
        <v>75</v>
      </c>
      <c r="C89" s="44" t="s">
        <v>143</v>
      </c>
      <c r="D89" s="11">
        <v>10</v>
      </c>
      <c r="E89" s="39">
        <v>10</v>
      </c>
      <c r="F89" s="11">
        <v>7</v>
      </c>
      <c r="G89" s="38">
        <v>4</v>
      </c>
      <c r="H89" s="11">
        <v>6</v>
      </c>
      <c r="I89" s="11">
        <v>9</v>
      </c>
      <c r="J89" s="11">
        <v>0</v>
      </c>
      <c r="K89" s="11">
        <v>7</v>
      </c>
      <c r="L89" s="11">
        <v>7</v>
      </c>
      <c r="M89" s="11">
        <v>9</v>
      </c>
      <c r="N89" s="48">
        <v>2</v>
      </c>
      <c r="O89" s="11">
        <f>SUM(Tableau135[[#This Row],[Exercices d''obsevation]:[TIC]])</f>
        <v>71</v>
      </c>
      <c r="P89" s="25">
        <f>AVERAGE(Tableau135[[#This Row],[Exercices d''obsevation]:[TIC]])</f>
        <v>6.4545454545454541</v>
      </c>
      <c r="Q89" s="11">
        <f>RANK(Tableau135[[#This Row],[Moyenne]],Tableau135[Moyenne],0)</f>
        <v>85</v>
      </c>
      <c r="R89" s="3" t="str">
        <f>IF(Tableau135[[#This Row],[Moyenne]]&lt;5,"Non Validé","Validé")</f>
        <v>Validé</v>
      </c>
    </row>
    <row r="90" spans="1:18" ht="24.95" customHeight="1" thickBot="1" x14ac:dyDescent="0.3">
      <c r="A90" s="2">
        <v>101</v>
      </c>
      <c r="B90" s="27" t="s">
        <v>124</v>
      </c>
      <c r="C90" s="12" t="s">
        <v>142</v>
      </c>
      <c r="D90" s="14">
        <v>7</v>
      </c>
      <c r="E90" s="50">
        <v>10</v>
      </c>
      <c r="F90" s="14">
        <v>8</v>
      </c>
      <c r="G90" s="50">
        <v>3</v>
      </c>
      <c r="H90" s="14">
        <v>7</v>
      </c>
      <c r="I90" s="14">
        <v>8</v>
      </c>
      <c r="J90" s="14">
        <v>2</v>
      </c>
      <c r="K90" s="14">
        <v>6</v>
      </c>
      <c r="L90" s="14">
        <v>4</v>
      </c>
      <c r="M90" s="14">
        <v>10</v>
      </c>
      <c r="N90" s="53">
        <v>6</v>
      </c>
      <c r="O90" s="14">
        <f>SUM(Tableau135[[#This Row],[Exercices d''obsevation]:[TIC]])</f>
        <v>71</v>
      </c>
      <c r="P90" s="26">
        <f>AVERAGE(Tableau135[[#This Row],[Exercices d''obsevation]:[TIC]])</f>
        <v>6.4545454545454541</v>
      </c>
      <c r="Q90" s="14">
        <f>RANK(Tableau135[[#This Row],[Moyenne]],Tableau135[Moyenne],0)</f>
        <v>85</v>
      </c>
      <c r="R90" s="28" t="str">
        <f>IF(Tableau135[[#This Row],[Moyenne]]&lt;5,"Non Validé","Validé")</f>
        <v>Validé</v>
      </c>
    </row>
    <row r="91" spans="1:18" ht="24.95" customHeight="1" thickBot="1" x14ac:dyDescent="0.3">
      <c r="A91" s="2">
        <v>89</v>
      </c>
      <c r="B91" s="1" t="s">
        <v>139</v>
      </c>
      <c r="C91" s="44" t="s">
        <v>143</v>
      </c>
      <c r="D91" s="11">
        <v>7</v>
      </c>
      <c r="E91" s="39">
        <v>6</v>
      </c>
      <c r="F91" s="11">
        <v>10</v>
      </c>
      <c r="G91" s="38">
        <v>4</v>
      </c>
      <c r="H91" s="11">
        <v>6</v>
      </c>
      <c r="I91" s="11">
        <v>9</v>
      </c>
      <c r="J91" s="11">
        <v>3</v>
      </c>
      <c r="K91" s="11">
        <v>5</v>
      </c>
      <c r="L91" s="11">
        <v>5</v>
      </c>
      <c r="M91" s="11">
        <v>10</v>
      </c>
      <c r="N91" s="48">
        <v>6</v>
      </c>
      <c r="O91" s="11">
        <f>SUM(Tableau135[[#This Row],[Exercices d''obsevation]:[TIC]])</f>
        <v>71</v>
      </c>
      <c r="P91" s="25">
        <f>AVERAGE(Tableau135[[#This Row],[Exercices d''obsevation]:[TIC]])</f>
        <v>6.4545454545454541</v>
      </c>
      <c r="Q91" s="11">
        <f>RANK(Tableau135[[#This Row],[Moyenne]],Tableau135[Moyenne],0)</f>
        <v>85</v>
      </c>
      <c r="R91" s="3" t="str">
        <f>IF(Tableau135[[#This Row],[Moyenne]]&lt;5,"Non Validé","Validé")</f>
        <v>Validé</v>
      </c>
    </row>
    <row r="92" spans="1:18" ht="24.95" customHeight="1" thickBot="1" x14ac:dyDescent="0.3">
      <c r="A92" s="2">
        <v>19</v>
      </c>
      <c r="B92" s="1" t="s">
        <v>71</v>
      </c>
      <c r="C92" s="44" t="s">
        <v>143</v>
      </c>
      <c r="D92" s="11">
        <v>9</v>
      </c>
      <c r="E92" s="39">
        <v>10</v>
      </c>
      <c r="F92" s="11">
        <v>6</v>
      </c>
      <c r="G92" s="38">
        <v>4</v>
      </c>
      <c r="H92" s="11">
        <v>6</v>
      </c>
      <c r="I92" s="11">
        <v>6</v>
      </c>
      <c r="J92" s="11">
        <v>0</v>
      </c>
      <c r="K92" s="11">
        <v>9</v>
      </c>
      <c r="L92" s="11">
        <v>3</v>
      </c>
      <c r="M92" s="11">
        <v>10</v>
      </c>
      <c r="N92" s="48">
        <v>8</v>
      </c>
      <c r="O92" s="11">
        <f>SUM(Tableau135[[#This Row],[Exercices d''obsevation]:[TIC]])</f>
        <v>71</v>
      </c>
      <c r="P92" s="25">
        <f>AVERAGE(Tableau135[[#This Row],[Exercices d''obsevation]:[TIC]])</f>
        <v>6.4545454545454541</v>
      </c>
      <c r="Q92" s="11">
        <f>RANK(Tableau135[[#This Row],[Moyenne]],Tableau135[Moyenne],0)</f>
        <v>85</v>
      </c>
      <c r="R92" s="3" t="str">
        <f>IF(Tableau135[[#This Row],[Moyenne]]&lt;5,"Non Validé","Validé")</f>
        <v>Validé</v>
      </c>
    </row>
    <row r="93" spans="1:18" ht="24.95" customHeight="1" thickBot="1" x14ac:dyDescent="0.3">
      <c r="A93" s="2">
        <v>28</v>
      </c>
      <c r="B93" s="7" t="s">
        <v>106</v>
      </c>
      <c r="C93" s="44" t="s">
        <v>143</v>
      </c>
      <c r="D93" s="13">
        <v>9</v>
      </c>
      <c r="E93" s="39">
        <v>8</v>
      </c>
      <c r="F93" s="13">
        <v>8</v>
      </c>
      <c r="G93" s="38">
        <v>5</v>
      </c>
      <c r="H93" s="13">
        <v>5</v>
      </c>
      <c r="I93" s="13">
        <v>10</v>
      </c>
      <c r="J93" s="13">
        <v>1</v>
      </c>
      <c r="K93" s="13">
        <v>6</v>
      </c>
      <c r="L93" s="13">
        <v>4</v>
      </c>
      <c r="M93" s="13">
        <v>4</v>
      </c>
      <c r="N93" s="48">
        <v>10</v>
      </c>
      <c r="O93" s="11">
        <f>SUM(Tableau135[[#This Row],[Exercices d''obsevation]:[TIC]])</f>
        <v>70</v>
      </c>
      <c r="P93" s="25">
        <f>AVERAGE(Tableau135[[#This Row],[Exercices d''obsevation]:[TIC]])</f>
        <v>6.3636363636363633</v>
      </c>
      <c r="Q93" s="11">
        <f>RANK(Tableau135[[#This Row],[Moyenne]],Tableau135[Moyenne],0)</f>
        <v>92</v>
      </c>
      <c r="R93" s="8" t="str">
        <f>IF(Tableau135[[#This Row],[Moyenne]]&lt;5,"Non Validé","Validé")</f>
        <v>Validé</v>
      </c>
    </row>
    <row r="94" spans="1:18" ht="24.95" customHeight="1" thickBot="1" x14ac:dyDescent="0.3">
      <c r="A94" s="2">
        <v>21</v>
      </c>
      <c r="B94" s="7" t="s">
        <v>32</v>
      </c>
      <c r="C94" s="44" t="s">
        <v>143</v>
      </c>
      <c r="D94" s="13">
        <v>8</v>
      </c>
      <c r="E94" s="39">
        <v>10</v>
      </c>
      <c r="F94" s="13">
        <v>7</v>
      </c>
      <c r="G94" s="38">
        <v>4</v>
      </c>
      <c r="H94" s="13">
        <v>9</v>
      </c>
      <c r="I94" s="13">
        <v>9</v>
      </c>
      <c r="J94" s="13">
        <v>0</v>
      </c>
      <c r="K94" s="13">
        <v>9</v>
      </c>
      <c r="L94" s="13">
        <v>6</v>
      </c>
      <c r="M94" s="13">
        <v>8</v>
      </c>
      <c r="N94" s="48">
        <v>0</v>
      </c>
      <c r="O94" s="11">
        <f>SUM(Tableau135[[#This Row],[Exercices d''obsevation]:[TIC]])</f>
        <v>70</v>
      </c>
      <c r="P94" s="25">
        <f>AVERAGE(Tableau135[[#This Row],[Exercices d''obsevation]:[TIC]])</f>
        <v>6.3636363636363633</v>
      </c>
      <c r="Q94" s="11">
        <f>RANK(Tableau135[[#This Row],[Moyenne]],Tableau135[Moyenne],0)</f>
        <v>92</v>
      </c>
      <c r="R94" s="8" t="str">
        <f>IF(Tableau135[[#This Row],[Moyenne]]&lt;5,"Non Validé","Validé")</f>
        <v>Validé</v>
      </c>
    </row>
    <row r="95" spans="1:18" ht="24.95" customHeight="1" thickBot="1" x14ac:dyDescent="0.3">
      <c r="A95" s="2">
        <v>31</v>
      </c>
      <c r="B95" s="17" t="s">
        <v>74</v>
      </c>
      <c r="C95" s="12" t="s">
        <v>142</v>
      </c>
      <c r="D95" s="18">
        <v>5</v>
      </c>
      <c r="E95" s="50">
        <v>10</v>
      </c>
      <c r="F95" s="18">
        <v>8</v>
      </c>
      <c r="G95" s="50">
        <v>7</v>
      </c>
      <c r="H95" s="18">
        <v>5</v>
      </c>
      <c r="I95" s="18">
        <v>6</v>
      </c>
      <c r="J95" s="18">
        <v>0</v>
      </c>
      <c r="K95" s="18">
        <v>7</v>
      </c>
      <c r="L95" s="18">
        <v>4</v>
      </c>
      <c r="M95" s="18">
        <v>8</v>
      </c>
      <c r="N95" s="49">
        <v>10</v>
      </c>
      <c r="O95" s="14">
        <f>SUM(Tableau135[[#This Row],[Exercices d''obsevation]:[TIC]])</f>
        <v>70</v>
      </c>
      <c r="P95" s="26">
        <f>AVERAGE(Tableau135[[#This Row],[Exercices d''obsevation]:[TIC]])</f>
        <v>6.3636363636363633</v>
      </c>
      <c r="Q95" s="14">
        <f>RANK(Tableau135[[#This Row],[Moyenne]],Tableau135[Moyenne],0)</f>
        <v>92</v>
      </c>
      <c r="R95" s="19" t="str">
        <f>IF(Tableau135[[#This Row],[Moyenne]]&lt;5,"Non Validé","Validé")</f>
        <v>Validé</v>
      </c>
    </row>
    <row r="96" spans="1:18" ht="24.95" customHeight="1" thickBot="1" x14ac:dyDescent="0.3">
      <c r="A96" s="2">
        <v>56</v>
      </c>
      <c r="B96" s="1" t="s">
        <v>120</v>
      </c>
      <c r="C96" s="44" t="s">
        <v>143</v>
      </c>
      <c r="D96" s="11">
        <v>7</v>
      </c>
      <c r="E96" s="39">
        <v>10</v>
      </c>
      <c r="F96" s="11">
        <v>8</v>
      </c>
      <c r="G96" s="38">
        <v>2</v>
      </c>
      <c r="H96" s="11">
        <v>7</v>
      </c>
      <c r="I96" s="11">
        <v>10</v>
      </c>
      <c r="J96" s="11">
        <v>1</v>
      </c>
      <c r="K96" s="11">
        <v>4</v>
      </c>
      <c r="L96" s="13">
        <v>3</v>
      </c>
      <c r="M96" s="13">
        <v>10</v>
      </c>
      <c r="N96" s="48">
        <v>8</v>
      </c>
      <c r="O96" s="11">
        <f>SUM(Tableau135[[#This Row],[Exercices d''obsevation]:[TIC]])</f>
        <v>70</v>
      </c>
      <c r="P96" s="25">
        <f>AVERAGE(Tableau135[[#This Row],[Exercices d''obsevation]:[TIC]])</f>
        <v>6.3636363636363633</v>
      </c>
      <c r="Q96" s="11">
        <f>RANK(Tableau135[[#This Row],[Moyenne]],Tableau135[Moyenne],0)</f>
        <v>92</v>
      </c>
      <c r="R96" s="3" t="str">
        <f>IF(Tableau135[[#This Row],[Moyenne]]&lt;5,"Non Validé","Validé")</f>
        <v>Validé</v>
      </c>
    </row>
    <row r="97" spans="1:18" ht="24.95" customHeight="1" thickBot="1" x14ac:dyDescent="0.3">
      <c r="A97" s="2">
        <v>68</v>
      </c>
      <c r="B97" s="1" t="s">
        <v>129</v>
      </c>
      <c r="C97" s="44" t="s">
        <v>143</v>
      </c>
      <c r="D97" s="11">
        <v>7</v>
      </c>
      <c r="E97" s="39">
        <v>10</v>
      </c>
      <c r="F97" s="11">
        <v>8</v>
      </c>
      <c r="G97" s="38">
        <v>6</v>
      </c>
      <c r="H97" s="11">
        <v>4</v>
      </c>
      <c r="I97" s="11">
        <v>10</v>
      </c>
      <c r="J97" s="11">
        <v>0</v>
      </c>
      <c r="K97" s="11">
        <v>6</v>
      </c>
      <c r="L97" s="13">
        <v>3</v>
      </c>
      <c r="M97" s="13">
        <v>9</v>
      </c>
      <c r="N97" s="48">
        <v>6</v>
      </c>
      <c r="O97" s="11">
        <f>SUM(Tableau135[[#This Row],[Exercices d''obsevation]:[TIC]])</f>
        <v>69</v>
      </c>
      <c r="P97" s="25">
        <f>AVERAGE(Tableau135[[#This Row],[Exercices d''obsevation]:[TIC]])</f>
        <v>6.2727272727272725</v>
      </c>
      <c r="Q97" s="11">
        <f>RANK(Tableau135[[#This Row],[Moyenne]],Tableau135[Moyenne],0)</f>
        <v>96</v>
      </c>
      <c r="R97" s="3" t="str">
        <f>IF(Tableau135[[#This Row],[Moyenne]]&lt;5,"Non Validé","Validé")</f>
        <v>Validé</v>
      </c>
    </row>
    <row r="98" spans="1:18" ht="24.95" customHeight="1" thickBot="1" x14ac:dyDescent="0.3">
      <c r="A98" s="2">
        <v>34</v>
      </c>
      <c r="B98" s="9" t="s">
        <v>39</v>
      </c>
      <c r="C98" s="12" t="s">
        <v>142</v>
      </c>
      <c r="D98" s="12">
        <v>10</v>
      </c>
      <c r="E98" s="50">
        <v>10</v>
      </c>
      <c r="F98" s="12">
        <v>8</v>
      </c>
      <c r="G98" s="50">
        <v>4</v>
      </c>
      <c r="H98" s="12">
        <v>7</v>
      </c>
      <c r="I98" s="12">
        <v>6</v>
      </c>
      <c r="J98" s="12">
        <v>2</v>
      </c>
      <c r="K98" s="12">
        <v>4</v>
      </c>
      <c r="L98" s="18">
        <v>1</v>
      </c>
      <c r="M98" s="18">
        <v>8</v>
      </c>
      <c r="N98" s="49">
        <v>8</v>
      </c>
      <c r="O98" s="14">
        <f>SUM(Tableau135[[#This Row],[Exercices d''obsevation]:[TIC]])</f>
        <v>68</v>
      </c>
      <c r="P98" s="26">
        <f>AVERAGE(Tableau135[[#This Row],[Exercices d''obsevation]:[TIC]])</f>
        <v>6.1818181818181817</v>
      </c>
      <c r="Q98" s="14">
        <f>RANK(Tableau135[[#This Row],[Moyenne]],Tableau135[Moyenne],0)</f>
        <v>97</v>
      </c>
      <c r="R98" s="10" t="str">
        <f>IF(Tableau135[[#This Row],[Moyenne]]&lt;5,"Non Validé","Validé")</f>
        <v>Validé</v>
      </c>
    </row>
    <row r="99" spans="1:18" ht="24.95" customHeight="1" thickBot="1" x14ac:dyDescent="0.3">
      <c r="A99" s="2">
        <v>107</v>
      </c>
      <c r="B99" s="1" t="s">
        <v>76</v>
      </c>
      <c r="C99" s="44" t="s">
        <v>143</v>
      </c>
      <c r="D99" s="11">
        <v>7</v>
      </c>
      <c r="E99" s="39">
        <v>10</v>
      </c>
      <c r="F99" s="11">
        <v>8</v>
      </c>
      <c r="G99" s="38">
        <v>5</v>
      </c>
      <c r="H99" s="11">
        <v>7</v>
      </c>
      <c r="I99" s="11">
        <v>8</v>
      </c>
      <c r="J99" s="11">
        <v>0</v>
      </c>
      <c r="K99" s="11">
        <v>7</v>
      </c>
      <c r="L99" s="13">
        <v>1</v>
      </c>
      <c r="M99" s="13">
        <v>10</v>
      </c>
      <c r="N99" s="48">
        <v>4</v>
      </c>
      <c r="O99" s="11">
        <f>SUM(Tableau135[[#This Row],[Exercices d''obsevation]:[TIC]])</f>
        <v>67</v>
      </c>
      <c r="P99" s="25">
        <f>AVERAGE(Tableau135[[#This Row],[Exercices d''obsevation]:[TIC]])</f>
        <v>6.0909090909090908</v>
      </c>
      <c r="Q99" s="11">
        <f>RANK(Tableau135[[#This Row],[Moyenne]],Tableau135[Moyenne],0)</f>
        <v>98</v>
      </c>
      <c r="R99" s="3" t="str">
        <f>IF(Tableau135[[#This Row],[Moyenne]]&lt;5,"Non Validé","Validé")</f>
        <v>Validé</v>
      </c>
    </row>
    <row r="100" spans="1:18" ht="24.95" customHeight="1" thickBot="1" x14ac:dyDescent="0.3">
      <c r="A100" s="35">
        <v>54</v>
      </c>
      <c r="B100" s="9" t="s">
        <v>66</v>
      </c>
      <c r="C100" s="12" t="s">
        <v>142</v>
      </c>
      <c r="D100" s="14">
        <v>8</v>
      </c>
      <c r="E100" s="50">
        <v>10</v>
      </c>
      <c r="F100" s="12">
        <v>8</v>
      </c>
      <c r="G100" s="50">
        <v>4</v>
      </c>
      <c r="H100" s="12">
        <v>6</v>
      </c>
      <c r="I100" s="12">
        <v>9</v>
      </c>
      <c r="J100" s="12">
        <v>1</v>
      </c>
      <c r="K100" s="12">
        <v>3</v>
      </c>
      <c r="L100" s="18">
        <v>5</v>
      </c>
      <c r="M100" s="18">
        <v>8</v>
      </c>
      <c r="N100" s="49">
        <v>4</v>
      </c>
      <c r="O100" s="14">
        <f>SUM(Tableau135[[#This Row],[Exercices d''obsevation]:[TIC]])</f>
        <v>66</v>
      </c>
      <c r="P100" s="26">
        <f>AVERAGE(Tableau135[[#This Row],[Exercices d''obsevation]:[TIC]])</f>
        <v>6</v>
      </c>
      <c r="Q100" s="14">
        <f>RANK(Tableau135[[#This Row],[Moyenne]],Tableau135[Moyenne],0)</f>
        <v>99</v>
      </c>
      <c r="R100" s="10" t="str">
        <f>IF(Tableau135[[#This Row],[Moyenne]]&lt;5,"Non Validé","Validé")</f>
        <v>Validé</v>
      </c>
    </row>
    <row r="101" spans="1:18" ht="24.95" customHeight="1" thickBot="1" x14ac:dyDescent="0.3">
      <c r="A101" s="2">
        <v>48</v>
      </c>
      <c r="B101" s="1" t="s">
        <v>49</v>
      </c>
      <c r="C101" s="44" t="s">
        <v>143</v>
      </c>
      <c r="D101" s="11">
        <v>7</v>
      </c>
      <c r="E101" s="39">
        <v>6</v>
      </c>
      <c r="F101" s="11">
        <v>9</v>
      </c>
      <c r="G101" s="38">
        <v>4</v>
      </c>
      <c r="H101" s="11">
        <v>6</v>
      </c>
      <c r="I101" s="11">
        <v>9</v>
      </c>
      <c r="J101" s="11">
        <v>0</v>
      </c>
      <c r="K101" s="11">
        <v>5</v>
      </c>
      <c r="L101" s="13">
        <v>2</v>
      </c>
      <c r="M101" s="13">
        <v>8</v>
      </c>
      <c r="N101" s="48">
        <v>10</v>
      </c>
      <c r="O101" s="11">
        <f>SUM(Tableau135[[#This Row],[Exercices d''obsevation]:[TIC]])</f>
        <v>66</v>
      </c>
      <c r="P101" s="25">
        <f>AVERAGE(Tableau135[[#This Row],[Exercices d''obsevation]:[TIC]])</f>
        <v>6</v>
      </c>
      <c r="Q101" s="11">
        <f>RANK(Tableau135[[#This Row],[Moyenne]],Tableau135[Moyenne],0)</f>
        <v>99</v>
      </c>
      <c r="R101" s="3" t="str">
        <f>IF(Tableau135[[#This Row],[Moyenne]]&lt;5,"Non Validé","Validé")</f>
        <v>Validé</v>
      </c>
    </row>
    <row r="102" spans="1:18" ht="24.95" customHeight="1" thickBot="1" x14ac:dyDescent="0.3">
      <c r="A102" s="2">
        <v>83</v>
      </c>
      <c r="B102" s="9" t="s">
        <v>44</v>
      </c>
      <c r="C102" s="12" t="s">
        <v>142</v>
      </c>
      <c r="D102" s="12">
        <v>8</v>
      </c>
      <c r="E102" s="50">
        <v>10</v>
      </c>
      <c r="F102" s="12">
        <v>8</v>
      </c>
      <c r="G102" s="50">
        <v>4</v>
      </c>
      <c r="H102" s="12">
        <v>6</v>
      </c>
      <c r="I102" s="12">
        <v>9</v>
      </c>
      <c r="J102" s="12">
        <v>0</v>
      </c>
      <c r="K102" s="12">
        <v>4</v>
      </c>
      <c r="L102" s="18">
        <v>1</v>
      </c>
      <c r="M102" s="18">
        <v>10</v>
      </c>
      <c r="N102" s="49">
        <v>6</v>
      </c>
      <c r="O102" s="14">
        <f>SUM(Tableau135[[#This Row],[Exercices d''obsevation]:[TIC]])</f>
        <v>66</v>
      </c>
      <c r="P102" s="26">
        <f>AVERAGE(Tableau135[[#This Row],[Exercices d''obsevation]:[TIC]])</f>
        <v>6</v>
      </c>
      <c r="Q102" s="14">
        <f>RANK(Tableau135[[#This Row],[Moyenne]],Tableau135[Moyenne],0)</f>
        <v>99</v>
      </c>
      <c r="R102" s="10" t="str">
        <f>IF(Tableau135[[#This Row],[Moyenne]]&lt;5,"Non Validé","Validé")</f>
        <v>Validé</v>
      </c>
    </row>
    <row r="103" spans="1:18" ht="24.95" customHeight="1" thickBot="1" x14ac:dyDescent="0.3">
      <c r="A103" s="2">
        <v>102</v>
      </c>
      <c r="B103" s="9" t="s">
        <v>61</v>
      </c>
      <c r="C103" s="12" t="s">
        <v>142</v>
      </c>
      <c r="D103" s="12">
        <v>10</v>
      </c>
      <c r="E103" s="50">
        <v>10</v>
      </c>
      <c r="F103" s="12">
        <v>8</v>
      </c>
      <c r="G103" s="50">
        <v>6</v>
      </c>
      <c r="H103" s="12">
        <v>5</v>
      </c>
      <c r="I103" s="12">
        <v>8</v>
      </c>
      <c r="J103" s="12">
        <v>0</v>
      </c>
      <c r="K103" s="12">
        <v>6</v>
      </c>
      <c r="L103" s="18">
        <v>4</v>
      </c>
      <c r="M103" s="18">
        <v>6</v>
      </c>
      <c r="N103" s="49">
        <v>2</v>
      </c>
      <c r="O103" s="14">
        <f>SUM(Tableau135[[#This Row],[Exercices d''obsevation]:[TIC]])</f>
        <v>65</v>
      </c>
      <c r="P103" s="26">
        <f>AVERAGE(Tableau135[[#This Row],[Exercices d''obsevation]:[TIC]])</f>
        <v>5.9090909090909092</v>
      </c>
      <c r="Q103" s="14">
        <f>RANK(Tableau135[[#This Row],[Moyenne]],Tableau135[Moyenne],0)</f>
        <v>102</v>
      </c>
      <c r="R103" s="10" t="str">
        <f>IF(Tableau135[[#This Row],[Moyenne]]&lt;5,"Non Validé","Validé")</f>
        <v>Validé</v>
      </c>
    </row>
    <row r="104" spans="1:18" ht="24.95" customHeight="1" thickBot="1" x14ac:dyDescent="0.3">
      <c r="A104" s="2">
        <v>25</v>
      </c>
      <c r="B104" s="1" t="s">
        <v>40</v>
      </c>
      <c r="C104" s="44" t="s">
        <v>143</v>
      </c>
      <c r="D104" s="11">
        <v>10</v>
      </c>
      <c r="E104" s="39">
        <v>10</v>
      </c>
      <c r="F104" s="11">
        <v>7</v>
      </c>
      <c r="G104" s="38">
        <v>6</v>
      </c>
      <c r="H104" s="11">
        <v>6</v>
      </c>
      <c r="I104" s="11">
        <v>7</v>
      </c>
      <c r="J104" s="11">
        <v>2</v>
      </c>
      <c r="K104" s="11">
        <v>4</v>
      </c>
      <c r="L104" s="13">
        <v>3</v>
      </c>
      <c r="M104" s="13">
        <v>10</v>
      </c>
      <c r="N104" s="48">
        <v>0</v>
      </c>
      <c r="O104" s="11">
        <f>SUM(Tableau135[[#This Row],[Exercices d''obsevation]:[TIC]])</f>
        <v>65</v>
      </c>
      <c r="P104" s="25">
        <f>AVERAGE(Tableau135[[#This Row],[Exercices d''obsevation]:[TIC]])</f>
        <v>5.9090909090909092</v>
      </c>
      <c r="Q104" s="11">
        <f>RANK(Tableau135[[#This Row],[Moyenne]],Tableau135[Moyenne],0)</f>
        <v>102</v>
      </c>
      <c r="R104" s="3" t="str">
        <f>IF(Tableau135[[#This Row],[Moyenne]]&lt;5,"Non Validé","Validé")</f>
        <v>Validé</v>
      </c>
    </row>
    <row r="105" spans="1:18" ht="24.95" customHeight="1" thickBot="1" x14ac:dyDescent="0.3">
      <c r="A105" s="2">
        <v>39</v>
      </c>
      <c r="B105" s="1" t="s">
        <v>117</v>
      </c>
      <c r="C105" s="44" t="s">
        <v>143</v>
      </c>
      <c r="D105" s="11">
        <v>7</v>
      </c>
      <c r="E105" s="39">
        <v>10</v>
      </c>
      <c r="F105" s="11">
        <v>0</v>
      </c>
      <c r="G105" s="38">
        <v>4</v>
      </c>
      <c r="H105" s="11">
        <v>6</v>
      </c>
      <c r="I105" s="11">
        <v>10</v>
      </c>
      <c r="J105" s="11">
        <v>2</v>
      </c>
      <c r="K105" s="11">
        <v>7</v>
      </c>
      <c r="L105" s="13">
        <v>2</v>
      </c>
      <c r="M105" s="13">
        <v>6</v>
      </c>
      <c r="N105" s="48">
        <v>10</v>
      </c>
      <c r="O105" s="11">
        <f>SUM(Tableau135[[#This Row],[Exercices d''obsevation]:[TIC]])</f>
        <v>64</v>
      </c>
      <c r="P105" s="25">
        <f>AVERAGE(Tableau135[[#This Row],[Exercices d''obsevation]:[TIC]])</f>
        <v>5.8181818181818183</v>
      </c>
      <c r="Q105" s="11">
        <f>RANK(Tableau135[[#This Row],[Moyenne]],Tableau135[Moyenne],0)</f>
        <v>104</v>
      </c>
      <c r="R105" s="3" t="str">
        <f>IF(Tableau135[[#This Row],[Moyenne]]&lt;5,"Non Validé","Validé")</f>
        <v>Validé</v>
      </c>
    </row>
    <row r="106" spans="1:18" ht="24.95" customHeight="1" thickBot="1" x14ac:dyDescent="0.3">
      <c r="A106" s="2">
        <v>7</v>
      </c>
      <c r="B106" s="9" t="s">
        <v>83</v>
      </c>
      <c r="C106" s="12" t="s">
        <v>142</v>
      </c>
      <c r="D106" s="12">
        <v>8</v>
      </c>
      <c r="E106" s="50">
        <v>8</v>
      </c>
      <c r="F106" s="12">
        <v>8</v>
      </c>
      <c r="G106" s="50">
        <v>4</v>
      </c>
      <c r="H106" s="12">
        <v>4</v>
      </c>
      <c r="I106" s="12">
        <v>9</v>
      </c>
      <c r="J106" s="12">
        <v>1</v>
      </c>
      <c r="K106" s="12">
        <v>6</v>
      </c>
      <c r="L106" s="18">
        <v>2</v>
      </c>
      <c r="M106" s="18">
        <v>8</v>
      </c>
      <c r="N106" s="49">
        <v>6</v>
      </c>
      <c r="O106" s="14">
        <f>SUM(Tableau135[[#This Row],[Exercices d''obsevation]:[TIC]])</f>
        <v>64</v>
      </c>
      <c r="P106" s="26">
        <f>AVERAGE(Tableau135[[#This Row],[Exercices d''obsevation]:[TIC]])</f>
        <v>5.8181818181818183</v>
      </c>
      <c r="Q106" s="14">
        <f>RANK(Tableau135[[#This Row],[Moyenne]],Tableau135[Moyenne],0)</f>
        <v>104</v>
      </c>
      <c r="R106" s="10" t="str">
        <f>IF(Tableau135[[#This Row],[Moyenne]]&lt;5,"Non Validé","Validé")</f>
        <v>Validé</v>
      </c>
    </row>
    <row r="107" spans="1:18" ht="24.95" customHeight="1" thickBot="1" x14ac:dyDescent="0.3">
      <c r="A107" s="2">
        <v>60</v>
      </c>
      <c r="B107" s="1" t="s">
        <v>72</v>
      </c>
      <c r="C107" s="44" t="s">
        <v>143</v>
      </c>
      <c r="D107" s="11">
        <v>7</v>
      </c>
      <c r="E107" s="46">
        <v>10</v>
      </c>
      <c r="F107" s="11">
        <v>7</v>
      </c>
      <c r="G107" s="47">
        <v>4</v>
      </c>
      <c r="H107" s="11">
        <v>7</v>
      </c>
      <c r="I107" s="11">
        <v>5</v>
      </c>
      <c r="J107" s="11">
        <v>0</v>
      </c>
      <c r="K107" s="11">
        <v>5</v>
      </c>
      <c r="L107" s="13">
        <v>7</v>
      </c>
      <c r="M107" s="13">
        <v>10</v>
      </c>
      <c r="N107" s="48">
        <v>2</v>
      </c>
      <c r="O107" s="11">
        <f>SUM(Tableau135[[#This Row],[Exercices d''obsevation]:[TIC]])</f>
        <v>64</v>
      </c>
      <c r="P107" s="25">
        <f>AVERAGE(Tableau135[[#This Row],[Exercices d''obsevation]:[TIC]])</f>
        <v>5.8181818181818183</v>
      </c>
      <c r="Q107" s="11">
        <f>RANK(Tableau135[[#This Row],[Moyenne]],Tableau135[Moyenne],0)</f>
        <v>104</v>
      </c>
      <c r="R107" s="3" t="str">
        <f>IF(Tableau135[[#This Row],[Moyenne]]&lt;5,"Non Validé","Validé")</f>
        <v>Validé</v>
      </c>
    </row>
    <row r="108" spans="1:18" ht="24.95" customHeight="1" thickBot="1" x14ac:dyDescent="0.3">
      <c r="A108" s="2">
        <v>94</v>
      </c>
      <c r="B108" s="22" t="s">
        <v>109</v>
      </c>
      <c r="C108" s="12" t="s">
        <v>142</v>
      </c>
      <c r="D108" s="23">
        <v>7</v>
      </c>
      <c r="E108" s="50">
        <v>8</v>
      </c>
      <c r="F108" s="23">
        <v>8</v>
      </c>
      <c r="G108" s="50">
        <v>4</v>
      </c>
      <c r="H108" s="23">
        <v>10</v>
      </c>
      <c r="I108" s="23">
        <v>8</v>
      </c>
      <c r="J108" s="23">
        <v>1</v>
      </c>
      <c r="K108" s="23">
        <v>4</v>
      </c>
      <c r="L108" s="29">
        <v>2</v>
      </c>
      <c r="M108" s="29">
        <v>10</v>
      </c>
      <c r="N108" s="55">
        <v>2</v>
      </c>
      <c r="O108" s="14">
        <f>SUM(Tableau135[[#This Row],[Exercices d''obsevation]:[TIC]])</f>
        <v>64</v>
      </c>
      <c r="P108" s="26">
        <f>AVERAGE(Tableau135[[#This Row],[Exercices d''obsevation]:[TIC]])</f>
        <v>5.8181818181818183</v>
      </c>
      <c r="Q108" s="14">
        <f>RANK(Tableau135[[#This Row],[Moyenne]],Tableau135[Moyenne],0)</f>
        <v>104</v>
      </c>
      <c r="R108" s="24" t="str">
        <f>IF(Tableau135[[#This Row],[Moyenne]]&lt;5,"Non Validé","Validé")</f>
        <v>Validé</v>
      </c>
    </row>
    <row r="109" spans="1:18" ht="24.95" customHeight="1" thickBot="1" x14ac:dyDescent="0.3">
      <c r="A109" s="2">
        <v>17</v>
      </c>
      <c r="B109" s="1" t="s">
        <v>36</v>
      </c>
      <c r="C109" s="44" t="s">
        <v>143</v>
      </c>
      <c r="D109" s="11">
        <v>6</v>
      </c>
      <c r="E109" s="46">
        <v>5</v>
      </c>
      <c r="F109" s="11">
        <v>8</v>
      </c>
      <c r="G109" s="47">
        <v>4</v>
      </c>
      <c r="H109" s="11">
        <v>8</v>
      </c>
      <c r="I109" s="11">
        <v>8</v>
      </c>
      <c r="J109" s="11">
        <v>4</v>
      </c>
      <c r="K109" s="11">
        <v>8</v>
      </c>
      <c r="L109" s="13">
        <v>2</v>
      </c>
      <c r="M109" s="13">
        <v>6</v>
      </c>
      <c r="N109" s="48">
        <v>4</v>
      </c>
      <c r="O109" s="11">
        <f>SUM(Tableau135[[#This Row],[Exercices d''obsevation]:[TIC]])</f>
        <v>63</v>
      </c>
      <c r="P109" s="25">
        <f>AVERAGE(Tableau135[[#This Row],[Exercices d''obsevation]:[TIC]])</f>
        <v>5.7272727272727275</v>
      </c>
      <c r="Q109" s="11">
        <f>RANK(Tableau135[[#This Row],[Moyenne]],Tableau135[Moyenne],0)</f>
        <v>108</v>
      </c>
      <c r="R109" s="3" t="str">
        <f>IF(Tableau135[[#This Row],[Moyenne]]&lt;5,"Non Validé","Validé")</f>
        <v>Validé</v>
      </c>
    </row>
    <row r="110" spans="1:18" ht="24.95" customHeight="1" thickBot="1" x14ac:dyDescent="0.3">
      <c r="A110" s="35">
        <v>55</v>
      </c>
      <c r="B110" s="9" t="s">
        <v>64</v>
      </c>
      <c r="C110" s="12" t="s">
        <v>142</v>
      </c>
      <c r="D110" s="12">
        <v>9</v>
      </c>
      <c r="E110" s="50">
        <v>8</v>
      </c>
      <c r="F110" s="12">
        <v>8</v>
      </c>
      <c r="G110" s="50">
        <v>4</v>
      </c>
      <c r="H110" s="12">
        <v>6</v>
      </c>
      <c r="I110" s="12">
        <v>9</v>
      </c>
      <c r="J110" s="12">
        <v>0</v>
      </c>
      <c r="K110" s="12">
        <v>5</v>
      </c>
      <c r="L110" s="18">
        <v>3</v>
      </c>
      <c r="M110" s="18">
        <v>8</v>
      </c>
      <c r="N110" s="49">
        <v>2</v>
      </c>
      <c r="O110" s="14">
        <f>SUM(Tableau135[[#This Row],[Exercices d''obsevation]:[TIC]])</f>
        <v>62</v>
      </c>
      <c r="P110" s="26">
        <f>AVERAGE(Tableau135[[#This Row],[Exercices d''obsevation]:[TIC]])</f>
        <v>5.6363636363636367</v>
      </c>
      <c r="Q110" s="14">
        <f>RANK(Tableau135[[#This Row],[Moyenne]],Tableau135[Moyenne],0)</f>
        <v>109</v>
      </c>
      <c r="R110" s="10" t="str">
        <f>IF(Tableau135[[#This Row],[Moyenne]]&lt;5,"Non Validé","Validé")</f>
        <v>Validé</v>
      </c>
    </row>
    <row r="111" spans="1:18" ht="24.95" customHeight="1" thickBot="1" x14ac:dyDescent="0.3">
      <c r="A111" s="2">
        <v>22</v>
      </c>
      <c r="B111" s="1" t="s">
        <v>105</v>
      </c>
      <c r="C111" s="44" t="s">
        <v>143</v>
      </c>
      <c r="D111" s="11">
        <v>8</v>
      </c>
      <c r="E111" s="46">
        <v>10</v>
      </c>
      <c r="F111" s="11">
        <v>6</v>
      </c>
      <c r="G111" s="47">
        <v>4</v>
      </c>
      <c r="H111" s="11">
        <v>7</v>
      </c>
      <c r="I111" s="11">
        <v>8</v>
      </c>
      <c r="J111" s="11">
        <v>1</v>
      </c>
      <c r="K111" s="11">
        <v>4</v>
      </c>
      <c r="L111" s="13">
        <v>4</v>
      </c>
      <c r="M111" s="13">
        <v>4</v>
      </c>
      <c r="N111" s="48">
        <v>4</v>
      </c>
      <c r="O111" s="11">
        <f>SUM(Tableau135[[#This Row],[Exercices d''obsevation]:[TIC]])</f>
        <v>60</v>
      </c>
      <c r="P111" s="25">
        <f>AVERAGE(Tableau135[[#This Row],[Exercices d''obsevation]:[TIC]])</f>
        <v>5.4545454545454541</v>
      </c>
      <c r="Q111" s="11">
        <f>RANK(Tableau135[[#This Row],[Moyenne]],Tableau135[Moyenne],0)</f>
        <v>110</v>
      </c>
      <c r="R111" s="3" t="str">
        <f>IF(Tableau135[[#This Row],[Moyenne]]&lt;5,"Non Validé","Validé")</f>
        <v>Validé</v>
      </c>
    </row>
    <row r="112" spans="1:18" ht="24.95" customHeight="1" thickBot="1" x14ac:dyDescent="0.3">
      <c r="A112" s="2">
        <v>15</v>
      </c>
      <c r="B112" s="9" t="s">
        <v>17</v>
      </c>
      <c r="C112" s="12" t="s">
        <v>142</v>
      </c>
      <c r="D112" s="12">
        <v>7</v>
      </c>
      <c r="E112" s="50">
        <v>8</v>
      </c>
      <c r="F112" s="12">
        <v>8</v>
      </c>
      <c r="G112" s="50">
        <v>6</v>
      </c>
      <c r="H112" s="12">
        <v>0</v>
      </c>
      <c r="I112" s="12">
        <v>9</v>
      </c>
      <c r="J112" s="12">
        <v>0</v>
      </c>
      <c r="K112" s="12">
        <v>5</v>
      </c>
      <c r="L112" s="18">
        <v>5</v>
      </c>
      <c r="M112" s="18">
        <v>10</v>
      </c>
      <c r="N112" s="49">
        <v>2</v>
      </c>
      <c r="O112" s="14">
        <f>SUM(Tableau135[[#This Row],[Exercices d''obsevation]:[TIC]])</f>
        <v>60</v>
      </c>
      <c r="P112" s="26">
        <f>AVERAGE(Tableau135[[#This Row],[Exercices d''obsevation]:[TIC]])</f>
        <v>5.4545454545454541</v>
      </c>
      <c r="Q112" s="14">
        <f>RANK(Tableau135[[#This Row],[Moyenne]],Tableau135[Moyenne],0)</f>
        <v>110</v>
      </c>
      <c r="R112" s="10" t="str">
        <f>IF(Tableau135[[#This Row],[Moyenne]]&lt;5,"Non Validé","Validé")</f>
        <v>Validé</v>
      </c>
    </row>
    <row r="113" spans="1:18" ht="24.95" customHeight="1" thickBot="1" x14ac:dyDescent="0.3">
      <c r="A113" s="2">
        <v>16</v>
      </c>
      <c r="B113" s="27" t="s">
        <v>123</v>
      </c>
      <c r="C113" s="12" t="s">
        <v>142</v>
      </c>
      <c r="D113" s="14">
        <v>9</v>
      </c>
      <c r="E113" s="50">
        <v>6</v>
      </c>
      <c r="F113" s="14">
        <v>5</v>
      </c>
      <c r="G113" s="50">
        <v>2</v>
      </c>
      <c r="H113" s="14">
        <v>6</v>
      </c>
      <c r="I113" s="14">
        <v>10</v>
      </c>
      <c r="J113" s="14">
        <v>0</v>
      </c>
      <c r="K113" s="14">
        <v>6</v>
      </c>
      <c r="L113" s="34">
        <v>5</v>
      </c>
      <c r="M113" s="34">
        <v>10</v>
      </c>
      <c r="N113" s="53">
        <v>0</v>
      </c>
      <c r="O113" s="14">
        <f>SUM(Tableau135[[#This Row],[Exercices d''obsevation]:[TIC]])</f>
        <v>59</v>
      </c>
      <c r="P113" s="26">
        <f>AVERAGE(Tableau135[[#This Row],[Exercices d''obsevation]:[TIC]])</f>
        <v>5.3636363636363633</v>
      </c>
      <c r="Q113" s="14">
        <f>RANK(Tableau135[[#This Row],[Moyenne]],Tableau135[Moyenne],0)</f>
        <v>112</v>
      </c>
      <c r="R113" s="28" t="str">
        <f>IF(Tableau135[[#This Row],[Moyenne]]&lt;5,"Non Validé","Validé")</f>
        <v>Validé</v>
      </c>
    </row>
    <row r="114" spans="1:18" ht="24.95" customHeight="1" thickBot="1" x14ac:dyDescent="0.3">
      <c r="A114" s="2">
        <v>23</v>
      </c>
      <c r="B114" s="9" t="s">
        <v>87</v>
      </c>
      <c r="C114" s="12" t="s">
        <v>142</v>
      </c>
      <c r="D114" s="12">
        <v>10</v>
      </c>
      <c r="E114" s="52">
        <v>8</v>
      </c>
      <c r="F114" s="12">
        <v>6</v>
      </c>
      <c r="G114" s="52">
        <v>2</v>
      </c>
      <c r="H114" s="12">
        <v>4</v>
      </c>
      <c r="I114" s="12">
        <v>9</v>
      </c>
      <c r="J114" s="12">
        <v>0</v>
      </c>
      <c r="K114" s="12">
        <v>5</v>
      </c>
      <c r="L114" s="18">
        <v>3</v>
      </c>
      <c r="M114" s="18">
        <v>6</v>
      </c>
      <c r="N114" s="12">
        <v>5</v>
      </c>
      <c r="O114" s="14">
        <f>SUM(Tableau135[[#This Row],[Exercices d''obsevation]:[TIC]])</f>
        <v>58</v>
      </c>
      <c r="P114" s="26">
        <f>AVERAGE(Tableau135[[#This Row],[Exercices d''obsevation]:[TIC]])</f>
        <v>5.2727272727272725</v>
      </c>
      <c r="Q114" s="14">
        <f>RANK(Tableau135[[#This Row],[Moyenne]],Tableau135[Moyenne],0)</f>
        <v>113</v>
      </c>
      <c r="R114" s="10" t="str">
        <f>IF(Tableau135[[#This Row],[Moyenne]]&lt;5,"Non Validé","Validé")</f>
        <v>Validé</v>
      </c>
    </row>
    <row r="115" spans="1:18" ht="24.95" customHeight="1" thickBot="1" x14ac:dyDescent="0.3">
      <c r="A115" s="2">
        <v>18</v>
      </c>
      <c r="B115" s="9" t="s">
        <v>88</v>
      </c>
      <c r="C115" s="12" t="s">
        <v>142</v>
      </c>
      <c r="D115" s="12">
        <v>7</v>
      </c>
      <c r="E115" s="52">
        <v>10</v>
      </c>
      <c r="F115" s="12">
        <v>6</v>
      </c>
      <c r="G115" s="52">
        <v>2</v>
      </c>
      <c r="H115" s="12">
        <v>6</v>
      </c>
      <c r="I115" s="12">
        <v>5</v>
      </c>
      <c r="J115" s="12">
        <v>0</v>
      </c>
      <c r="K115" s="12">
        <v>8</v>
      </c>
      <c r="L115" s="18">
        <v>2</v>
      </c>
      <c r="M115" s="18">
        <v>8</v>
      </c>
      <c r="N115" s="12">
        <v>0</v>
      </c>
      <c r="O115" s="14">
        <f>SUM(Tableau135[[#This Row],[Exercices d''obsevation]:[TIC]])</f>
        <v>54</v>
      </c>
      <c r="P115" s="26">
        <f>AVERAGE(Tableau135[[#This Row],[Exercices d''obsevation]:[TIC]])</f>
        <v>4.9090909090909092</v>
      </c>
      <c r="Q115" s="14">
        <f>RANK(Tableau135[[#This Row],[Moyenne]],Tableau135[Moyenne],0)</f>
        <v>114</v>
      </c>
      <c r="R115" s="10" t="str">
        <f>IF(Tableau135[[#This Row],[Moyenne]]&lt;5,"Non Validé","Validé")</f>
        <v>Non Validé</v>
      </c>
    </row>
    <row r="116" spans="1:18" ht="24.95" customHeight="1" thickBot="1" x14ac:dyDescent="0.3">
      <c r="A116" s="36">
        <v>36</v>
      </c>
      <c r="B116" s="9" t="s">
        <v>125</v>
      </c>
      <c r="C116" s="12" t="s">
        <v>142</v>
      </c>
      <c r="D116" s="12">
        <v>4</v>
      </c>
      <c r="E116" s="52">
        <v>8</v>
      </c>
      <c r="F116" s="12">
        <v>0</v>
      </c>
      <c r="G116" s="52">
        <v>5</v>
      </c>
      <c r="H116" s="12">
        <v>4</v>
      </c>
      <c r="I116" s="12">
        <v>8</v>
      </c>
      <c r="J116" s="12">
        <v>0</v>
      </c>
      <c r="K116" s="12">
        <v>4</v>
      </c>
      <c r="L116" s="18">
        <v>1</v>
      </c>
      <c r="M116" s="18">
        <v>4</v>
      </c>
      <c r="N116" s="12">
        <v>8</v>
      </c>
      <c r="O116" s="12">
        <f>SUM(Tableau135[[#This Row],[Exercices d''obsevation]:[TIC]])</f>
        <v>46</v>
      </c>
      <c r="P116" s="37">
        <f>AVERAGE(Tableau135[[#This Row],[Exercices d''obsevation]:[TIC]])</f>
        <v>4.1818181818181817</v>
      </c>
      <c r="Q116" s="12">
        <f>RANK(Tableau135[[#This Row],[Moyenne]],Tableau135[Moyenne],0)</f>
        <v>115</v>
      </c>
      <c r="R116" s="10" t="str">
        <f>IF(Tableau135[[#This Row],[Moyenne]]&lt;5,"Non Validé","Validé")</f>
        <v>Non Validé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1er trimestre </vt:lpstr>
      <vt:lpstr>2e trimestre </vt:lpstr>
      <vt:lpstr>3e trimestre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Abdoulaye MAIGA</dc:creator>
  <cp:lastModifiedBy>Abdoulaye MAIGA</cp:lastModifiedBy>
  <dcterms:created xsi:type="dcterms:W3CDTF">2025-12-05T15:34:41Z</dcterms:created>
  <dcterms:modified xsi:type="dcterms:W3CDTF">2026-05-21T09:30:49Z</dcterms:modified>
</cp:coreProperties>
</file>